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192.168.0.2\shared\PB TEMPLATE AUTO COSTING 6 Apr 23\FULL RANGE PB Quotation template-July 2025\"/>
    </mc:Choice>
  </mc:AlternateContent>
  <xr:revisionPtr revIDLastSave="0" documentId="8_{A7F350FF-1F16-4A5D-A783-2C6DF4CF3118}" xr6:coauthVersionLast="47" xr6:coauthVersionMax="47" xr10:uidLastSave="{00000000-0000-0000-0000-000000000000}"/>
  <bookViews>
    <workbookView xWindow="-120" yWindow="-120" windowWidth="29040" windowHeight="15840" xr2:uid="{00000000-000D-0000-FFFF-FFFF00000000}"/>
  </bookViews>
  <sheets>
    <sheet name="8688" sheetId="6" r:id="rId1"/>
    <sheet name="Q1 13 Nov 25" sheetId="7" r:id="rId2"/>
  </sheets>
  <definedNames>
    <definedName name="ValidQty" localSheetId="0">'8688'!$S$40:$T$68</definedName>
    <definedName name="ValidQuantities" localSheetId="0">'8688'!$S$40:$T$68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0" i="6" l="1"/>
  <c r="Q567" i="6"/>
  <c r="Q566" i="6"/>
  <c r="Q565" i="6"/>
  <c r="E561" i="6"/>
  <c r="E588" i="6" s="1"/>
  <c r="D561" i="6"/>
  <c r="D588" i="6" s="1"/>
  <c r="C561" i="6"/>
  <c r="C588" i="6" s="1"/>
  <c r="I554" i="6"/>
  <c r="I553" i="6"/>
  <c r="I552" i="6"/>
  <c r="I551" i="6"/>
  <c r="I545" i="6"/>
  <c r="I544" i="6"/>
  <c r="I543" i="6"/>
  <c r="I542" i="6"/>
  <c r="I536" i="6"/>
  <c r="I535" i="6"/>
  <c r="I534" i="6"/>
  <c r="I533" i="6"/>
  <c r="I527" i="6"/>
  <c r="I526" i="6"/>
  <c r="I525" i="6"/>
  <c r="I524" i="6"/>
  <c r="E521" i="6"/>
  <c r="E548" i="6" s="1"/>
  <c r="D521" i="6"/>
  <c r="C521" i="6"/>
  <c r="C520" i="6"/>
  <c r="U485" i="6"/>
  <c r="L17" i="6" s="1"/>
  <c r="U484" i="6"/>
  <c r="K17" i="6" s="1"/>
  <c r="U483" i="6"/>
  <c r="J17" i="6" s="1"/>
  <c r="U482" i="6"/>
  <c r="I17" i="6" s="1"/>
  <c r="E479" i="6"/>
  <c r="E506" i="6" s="1"/>
  <c r="D479" i="6"/>
  <c r="C479" i="6"/>
  <c r="C497" i="6" s="1"/>
  <c r="C478" i="6"/>
  <c r="D470" i="6"/>
  <c r="C470" i="6"/>
  <c r="D469" i="6"/>
  <c r="C469" i="6"/>
  <c r="D468" i="6"/>
  <c r="C468" i="6"/>
  <c r="D467" i="6"/>
  <c r="C467" i="6"/>
  <c r="F466" i="6"/>
  <c r="D466" i="6"/>
  <c r="C466" i="6"/>
  <c r="V465" i="6"/>
  <c r="U465" i="6"/>
  <c r="D465" i="6"/>
  <c r="C465" i="6"/>
  <c r="D464" i="6"/>
  <c r="C464" i="6"/>
  <c r="D463" i="6"/>
  <c r="C463" i="6"/>
  <c r="D462" i="6"/>
  <c r="C462" i="6"/>
  <c r="D461" i="6"/>
  <c r="C461" i="6"/>
  <c r="D460" i="6"/>
  <c r="C460" i="6"/>
  <c r="D459" i="6"/>
  <c r="C459" i="6"/>
  <c r="V458" i="6"/>
  <c r="U458" i="6"/>
  <c r="D458" i="6"/>
  <c r="C458" i="6"/>
  <c r="F457" i="6"/>
  <c r="D457" i="6"/>
  <c r="C457" i="6"/>
  <c r="D456" i="6"/>
  <c r="C456" i="6"/>
  <c r="I455" i="6"/>
  <c r="D455" i="6"/>
  <c r="C455" i="6"/>
  <c r="R454" i="6"/>
  <c r="L16" i="6" s="1"/>
  <c r="N454" i="6"/>
  <c r="D454" i="6"/>
  <c r="C454" i="6"/>
  <c r="R453" i="6"/>
  <c r="K16" i="6" s="1"/>
  <c r="N453" i="6"/>
  <c r="P453" i="6" s="1"/>
  <c r="D453" i="6"/>
  <c r="C453" i="6"/>
  <c r="R452" i="6"/>
  <c r="N452" i="6"/>
  <c r="N466" i="6" s="1"/>
  <c r="D452" i="6"/>
  <c r="C452" i="6"/>
  <c r="AC451" i="6"/>
  <c r="AB451" i="6"/>
  <c r="V451" i="6"/>
  <c r="R451" i="6"/>
  <c r="I16" i="6" s="1"/>
  <c r="N451" i="6"/>
  <c r="N465" i="6" s="1"/>
  <c r="P465" i="6" s="1"/>
  <c r="D451" i="6"/>
  <c r="F456" i="6" s="1"/>
  <c r="C451" i="6"/>
  <c r="AD448" i="6"/>
  <c r="AC448" i="6"/>
  <c r="AB448" i="6"/>
  <c r="C448" i="6"/>
  <c r="I440" i="6"/>
  <c r="I439" i="6"/>
  <c r="I438" i="6"/>
  <c r="I437" i="6"/>
  <c r="I436" i="6"/>
  <c r="I435" i="6"/>
  <c r="I434" i="6"/>
  <c r="I433" i="6"/>
  <c r="I432" i="6"/>
  <c r="I431" i="6"/>
  <c r="I430" i="6"/>
  <c r="I429" i="6"/>
  <c r="I428" i="6"/>
  <c r="K427" i="6"/>
  <c r="I427" i="6"/>
  <c r="K426" i="6"/>
  <c r="I426" i="6"/>
  <c r="K425" i="6"/>
  <c r="I425" i="6"/>
  <c r="K424" i="6"/>
  <c r="I424" i="6"/>
  <c r="K423" i="6"/>
  <c r="I423" i="6"/>
  <c r="K422" i="6"/>
  <c r="I422" i="6"/>
  <c r="K421" i="6"/>
  <c r="I421" i="6"/>
  <c r="D418" i="6"/>
  <c r="U451" i="6" s="1"/>
  <c r="I414" i="6"/>
  <c r="I413" i="6"/>
  <c r="I412" i="6"/>
  <c r="I411" i="6"/>
  <c r="D411" i="6"/>
  <c r="F411" i="6" s="1"/>
  <c r="I410" i="6"/>
  <c r="I409" i="6"/>
  <c r="I408" i="6"/>
  <c r="I407" i="6"/>
  <c r="I406" i="6"/>
  <c r="D406" i="6"/>
  <c r="F406" i="6" s="1"/>
  <c r="I405" i="6"/>
  <c r="I404" i="6"/>
  <c r="I403" i="6"/>
  <c r="E403" i="6"/>
  <c r="G403" i="6" s="1"/>
  <c r="I402" i="6"/>
  <c r="K401" i="6"/>
  <c r="I401" i="6"/>
  <c r="K400" i="6"/>
  <c r="I400" i="6"/>
  <c r="D400" i="6"/>
  <c r="F400" i="6" s="1"/>
  <c r="K399" i="6"/>
  <c r="I399" i="6"/>
  <c r="V398" i="6"/>
  <c r="L15" i="6" s="1"/>
  <c r="K398" i="6"/>
  <c r="I398" i="6"/>
  <c r="V397" i="6"/>
  <c r="K15" i="6" s="1"/>
  <c r="K397" i="6"/>
  <c r="I397" i="6"/>
  <c r="V396" i="6"/>
  <c r="J15" i="6" s="1"/>
  <c r="K396" i="6"/>
  <c r="I396" i="6"/>
  <c r="AI395" i="6"/>
  <c r="V395" i="6"/>
  <c r="I15" i="6" s="1"/>
  <c r="K395" i="6"/>
  <c r="I395" i="6"/>
  <c r="D392" i="6"/>
  <c r="I388" i="6"/>
  <c r="I387" i="6"/>
  <c r="I386" i="6"/>
  <c r="I385" i="6"/>
  <c r="I384" i="6"/>
  <c r="I383" i="6"/>
  <c r="I382" i="6"/>
  <c r="I381" i="6"/>
  <c r="I380" i="6"/>
  <c r="I379" i="6"/>
  <c r="I378" i="6"/>
  <c r="I377" i="6"/>
  <c r="I376" i="6"/>
  <c r="K375" i="6"/>
  <c r="I375" i="6"/>
  <c r="K374" i="6"/>
  <c r="I374" i="6"/>
  <c r="K373" i="6"/>
  <c r="I373" i="6"/>
  <c r="C373" i="6"/>
  <c r="K372" i="6"/>
  <c r="I372" i="6"/>
  <c r="K371" i="6"/>
  <c r="I371" i="6"/>
  <c r="K370" i="6"/>
  <c r="I370" i="6"/>
  <c r="K369" i="6"/>
  <c r="I369" i="6"/>
  <c r="C369" i="6"/>
  <c r="C408" i="6" s="1"/>
  <c r="D366" i="6"/>
  <c r="E364" i="6"/>
  <c r="E432" i="6" s="1"/>
  <c r="G432" i="6" s="1"/>
  <c r="D364" i="6"/>
  <c r="D422" i="6" s="1"/>
  <c r="F422" i="6" s="1"/>
  <c r="E363" i="6"/>
  <c r="E414" i="6" s="1"/>
  <c r="G414" i="6" s="1"/>
  <c r="D363" i="6"/>
  <c r="D410" i="6" s="1"/>
  <c r="F410" i="6" s="1"/>
  <c r="E362" i="6"/>
  <c r="E376" i="6" s="1"/>
  <c r="G376" i="6" s="1"/>
  <c r="D362" i="6"/>
  <c r="D370" i="6" s="1"/>
  <c r="F370" i="6" s="1"/>
  <c r="H310" i="6"/>
  <c r="H314" i="6" s="1"/>
  <c r="O314" i="6" s="1"/>
  <c r="H301" i="6"/>
  <c r="H260" i="6"/>
  <c r="H263" i="6" s="1"/>
  <c r="H245" i="6"/>
  <c r="H230" i="6"/>
  <c r="H218" i="6"/>
  <c r="H240" i="6" s="1"/>
  <c r="N204" i="6"/>
  <c r="N199" i="6"/>
  <c r="N198" i="6"/>
  <c r="N195" i="6"/>
  <c r="N190" i="6"/>
  <c r="N188" i="6"/>
  <c r="N186" i="6"/>
  <c r="N180" i="6"/>
  <c r="N179" i="6"/>
  <c r="N177" i="6"/>
  <c r="N208" i="6" s="1"/>
  <c r="H96" i="6"/>
  <c r="H195" i="6" s="1"/>
  <c r="AC86" i="6"/>
  <c r="AB86" i="6"/>
  <c r="AC85" i="6"/>
  <c r="AB85" i="6"/>
  <c r="AC84" i="6"/>
  <c r="AB84" i="6"/>
  <c r="AC83" i="6"/>
  <c r="AB83" i="6"/>
  <c r="AC82" i="6"/>
  <c r="AB82" i="6"/>
  <c r="AC81" i="6"/>
  <c r="AB81" i="6"/>
  <c r="AC80" i="6"/>
  <c r="AB80" i="6"/>
  <c r="AC79" i="6"/>
  <c r="AB79" i="6"/>
  <c r="AC78" i="6"/>
  <c r="AB78" i="6"/>
  <c r="AC77" i="6"/>
  <c r="AB77" i="6"/>
  <c r="AC76" i="6"/>
  <c r="AB76" i="6"/>
  <c r="AC75" i="6"/>
  <c r="AB75" i="6"/>
  <c r="AC74" i="6"/>
  <c r="AB74" i="6"/>
  <c r="AC73" i="6"/>
  <c r="AB73" i="6"/>
  <c r="AC72" i="6"/>
  <c r="AB72" i="6"/>
  <c r="AC71" i="6"/>
  <c r="AB71" i="6"/>
  <c r="AC70" i="6"/>
  <c r="AB70" i="6"/>
  <c r="AC69" i="6"/>
  <c r="AB69" i="6"/>
  <c r="AC68" i="6"/>
  <c r="AB68" i="6"/>
  <c r="AC67" i="6"/>
  <c r="AB67" i="6"/>
  <c r="AC66" i="6"/>
  <c r="AB66" i="6"/>
  <c r="AC65" i="6"/>
  <c r="AB65" i="6"/>
  <c r="AC64" i="6"/>
  <c r="AB64" i="6"/>
  <c r="AC63" i="6"/>
  <c r="AB63" i="6"/>
  <c r="AC62" i="6"/>
  <c r="AB62" i="6"/>
  <c r="AC61" i="6"/>
  <c r="AB61" i="6"/>
  <c r="AC60" i="6"/>
  <c r="AB60" i="6"/>
  <c r="AC59" i="6"/>
  <c r="AB59" i="6"/>
  <c r="AC58" i="6"/>
  <c r="AB58" i="6"/>
  <c r="AC57" i="6"/>
  <c r="AB57" i="6"/>
  <c r="AC56" i="6"/>
  <c r="AB56" i="6"/>
  <c r="AC55" i="6"/>
  <c r="AB55" i="6"/>
  <c r="AC54" i="6"/>
  <c r="AB54" i="6"/>
  <c r="AC53" i="6"/>
  <c r="AB53" i="6"/>
  <c r="AC52" i="6"/>
  <c r="AB52" i="6"/>
  <c r="AC51" i="6"/>
  <c r="AB51" i="6"/>
  <c r="AC50" i="6"/>
  <c r="AB50" i="6"/>
  <c r="AC49" i="6"/>
  <c r="AB49" i="6"/>
  <c r="AC48" i="6"/>
  <c r="AB48" i="6"/>
  <c r="AC47" i="6"/>
  <c r="AB47" i="6"/>
  <c r="AC46" i="6"/>
  <c r="AB46" i="6"/>
  <c r="AC45" i="6"/>
  <c r="AB45" i="6"/>
  <c r="AC44" i="6"/>
  <c r="AB44" i="6"/>
  <c r="AC43" i="6"/>
  <c r="AB43" i="6"/>
  <c r="I43" i="6"/>
  <c r="I140" i="6" s="1"/>
  <c r="AC42" i="6"/>
  <c r="AB42" i="6"/>
  <c r="I42" i="6"/>
  <c r="I139" i="6" s="1"/>
  <c r="AC41" i="6"/>
  <c r="AB41" i="6"/>
  <c r="I41" i="6"/>
  <c r="I50" i="6" s="1"/>
  <c r="AC40" i="6"/>
  <c r="AB40" i="6"/>
  <c r="L40" i="6"/>
  <c r="AN39" i="6"/>
  <c r="AM39" i="6"/>
  <c r="AL39" i="6"/>
  <c r="AK39" i="6"/>
  <c r="H39" i="6"/>
  <c r="O40" i="6" s="1"/>
  <c r="E37" i="6"/>
  <c r="E41" i="6" s="1"/>
  <c r="D37" i="6"/>
  <c r="D246" i="6" s="1"/>
  <c r="C37" i="6"/>
  <c r="C219" i="6" s="1"/>
  <c r="L23" i="6"/>
  <c r="K23" i="6"/>
  <c r="J23" i="6"/>
  <c r="I23" i="6"/>
  <c r="L22" i="6"/>
  <c r="K22" i="6"/>
  <c r="J22" i="6"/>
  <c r="I22" i="6"/>
  <c r="L21" i="6"/>
  <c r="K21" i="6"/>
  <c r="J21" i="6"/>
  <c r="I21" i="6"/>
  <c r="L20" i="6"/>
  <c r="K20" i="6"/>
  <c r="J20" i="6"/>
  <c r="I20" i="6"/>
  <c r="J16" i="6"/>
  <c r="D115" i="6" l="1"/>
  <c r="E539" i="6"/>
  <c r="E401" i="6"/>
  <c r="G401" i="6" s="1"/>
  <c r="D434" i="6"/>
  <c r="F434" i="6" s="1"/>
  <c r="D437" i="6"/>
  <c r="F437" i="6" s="1"/>
  <c r="D440" i="6"/>
  <c r="F440" i="6" s="1"/>
  <c r="W465" i="6"/>
  <c r="X465" i="6" s="1"/>
  <c r="N187" i="6"/>
  <c r="N197" i="6"/>
  <c r="N205" i="6"/>
  <c r="E395" i="6"/>
  <c r="G395" i="6" s="1"/>
  <c r="D399" i="6"/>
  <c r="F399" i="6" s="1"/>
  <c r="D405" i="6"/>
  <c r="F405" i="6" s="1"/>
  <c r="E410" i="6"/>
  <c r="G410" i="6" s="1"/>
  <c r="D421" i="6"/>
  <c r="F421" i="6" s="1"/>
  <c r="D424" i="6"/>
  <c r="F424" i="6" s="1"/>
  <c r="D396" i="6"/>
  <c r="F396" i="6" s="1"/>
  <c r="D397" i="6"/>
  <c r="F397" i="6" s="1"/>
  <c r="E402" i="6"/>
  <c r="G402" i="6" s="1"/>
  <c r="D404" i="6"/>
  <c r="F404" i="6" s="1"/>
  <c r="P466" i="6"/>
  <c r="F465" i="6"/>
  <c r="N458" i="6"/>
  <c r="H219" i="6"/>
  <c r="H228" i="6"/>
  <c r="H57" i="6"/>
  <c r="F588" i="6"/>
  <c r="X409" i="6"/>
  <c r="S411" i="6"/>
  <c r="AD39" i="6"/>
  <c r="H99" i="6"/>
  <c r="H126" i="6"/>
  <c r="H165" i="6"/>
  <c r="H186" i="6"/>
  <c r="S396" i="6"/>
  <c r="X402" i="6"/>
  <c r="C410" i="6"/>
  <c r="S412" i="6"/>
  <c r="H149" i="6"/>
  <c r="E426" i="6"/>
  <c r="G426" i="6" s="1"/>
  <c r="E439" i="6"/>
  <c r="G439" i="6" s="1"/>
  <c r="H312" i="6"/>
  <c r="O312" i="6" s="1"/>
  <c r="E398" i="6"/>
  <c r="E40" i="6"/>
  <c r="H48" i="6"/>
  <c r="I67" i="6"/>
  <c r="I246" i="6" s="1"/>
  <c r="H114" i="6"/>
  <c r="H127" i="6"/>
  <c r="H227" i="6"/>
  <c r="H237" i="6"/>
  <c r="C376" i="6"/>
  <c r="C379" i="6"/>
  <c r="D395" i="6"/>
  <c r="F395" i="6" s="1"/>
  <c r="E396" i="6"/>
  <c r="G396" i="6" s="1"/>
  <c r="E399" i="6"/>
  <c r="G399" i="6" s="1"/>
  <c r="E400" i="6"/>
  <c r="G400" i="6" s="1"/>
  <c r="D401" i="6"/>
  <c r="F401" i="6" s="1"/>
  <c r="D403" i="6"/>
  <c r="F403" i="6" s="1"/>
  <c r="E404" i="6"/>
  <c r="G404" i="6" s="1"/>
  <c r="E405" i="6"/>
  <c r="G405" i="6" s="1"/>
  <c r="E406" i="6"/>
  <c r="G406" i="6" s="1"/>
  <c r="E408" i="6"/>
  <c r="G408" i="6" s="1"/>
  <c r="W409" i="6"/>
  <c r="E413" i="6"/>
  <c r="G413" i="6" s="1"/>
  <c r="D425" i="6"/>
  <c r="F425" i="6" s="1"/>
  <c r="D426" i="6"/>
  <c r="F426" i="6" s="1"/>
  <c r="F458" i="6"/>
  <c r="F460" i="6"/>
  <c r="Q465" i="6"/>
  <c r="H98" i="6"/>
  <c r="H118" i="6"/>
  <c r="H163" i="6"/>
  <c r="H229" i="6"/>
  <c r="H249" i="6"/>
  <c r="H311" i="6"/>
  <c r="O311" i="6" s="1"/>
  <c r="Q461" i="6"/>
  <c r="C372" i="6"/>
  <c r="E397" i="6"/>
  <c r="G397" i="6" s="1"/>
  <c r="D409" i="6"/>
  <c r="F409" i="6" s="1"/>
  <c r="D414" i="6"/>
  <c r="F414" i="6" s="1"/>
  <c r="C423" i="6"/>
  <c r="AD451" i="6"/>
  <c r="AE451" i="6" s="1"/>
  <c r="AG451" i="6" s="1"/>
  <c r="F453" i="6"/>
  <c r="Q468" i="6"/>
  <c r="E570" i="6"/>
  <c r="O451" i="6"/>
  <c r="P451" i="6"/>
  <c r="H246" i="6"/>
  <c r="H248" i="6"/>
  <c r="H220" i="6"/>
  <c r="H222" i="6"/>
  <c r="H262" i="6"/>
  <c r="H280" i="6" s="1"/>
  <c r="H278" i="6"/>
  <c r="H261" i="6"/>
  <c r="H287" i="6"/>
  <c r="H264" i="6"/>
  <c r="H269" i="6"/>
  <c r="H271" i="6" s="1"/>
  <c r="H166" i="6"/>
  <c r="H105" i="6"/>
  <c r="H106" i="6"/>
  <c r="H179" i="6"/>
  <c r="H107" i="6"/>
  <c r="H108" i="6"/>
  <c r="H145" i="6"/>
  <c r="H180" i="6"/>
  <c r="H204" i="6"/>
  <c r="H100" i="6"/>
  <c r="H196" i="6"/>
  <c r="H136" i="6"/>
  <c r="M155" i="6" s="1"/>
  <c r="H137" i="6"/>
  <c r="H139" i="6"/>
  <c r="H109" i="6"/>
  <c r="H146" i="6"/>
  <c r="H155" i="6"/>
  <c r="H208" i="6"/>
  <c r="H116" i="6"/>
  <c r="H97" i="6"/>
  <c r="H117" i="6"/>
  <c r="H157" i="6"/>
  <c r="H40" i="6"/>
  <c r="H67" i="6" s="1"/>
  <c r="H66" i="6"/>
  <c r="E49" i="6"/>
  <c r="E116" i="6"/>
  <c r="E51" i="6"/>
  <c r="E579" i="6"/>
  <c r="D117" i="6"/>
  <c r="D69" i="6"/>
  <c r="D108" i="6"/>
  <c r="D125" i="6"/>
  <c r="D61" i="6"/>
  <c r="D94" i="6"/>
  <c r="D121" i="6" s="1"/>
  <c r="D55" i="6"/>
  <c r="D70" i="6"/>
  <c r="D40" i="6"/>
  <c r="D42" i="6"/>
  <c r="D109" i="6"/>
  <c r="D127" i="6"/>
  <c r="D190" i="6"/>
  <c r="D167" i="6"/>
  <c r="I61" i="6"/>
  <c r="I158" i="6" s="1"/>
  <c r="M41" i="6"/>
  <c r="P452" i="6"/>
  <c r="N459" i="6"/>
  <c r="P459" i="6" s="1"/>
  <c r="O452" i="6"/>
  <c r="E530" i="6"/>
  <c r="E118" i="6"/>
  <c r="D107" i="6"/>
  <c r="D175" i="6"/>
  <c r="D202" i="6" s="1"/>
  <c r="D205" i="6" s="1"/>
  <c r="D124" i="6"/>
  <c r="D147" i="6"/>
  <c r="D41" i="6"/>
  <c r="F41" i="6" s="1"/>
  <c r="D49" i="6"/>
  <c r="D67" i="6"/>
  <c r="D126" i="6"/>
  <c r="D181" i="6"/>
  <c r="D50" i="6"/>
  <c r="D59" i="6"/>
  <c r="O58" i="6"/>
  <c r="O43" i="6"/>
  <c r="O67" i="6"/>
  <c r="O41" i="6"/>
  <c r="O49" i="6"/>
  <c r="O50" i="6" s="1"/>
  <c r="O51" i="6" s="1"/>
  <c r="O52" i="6" s="1"/>
  <c r="O42" i="6"/>
  <c r="I271" i="6"/>
  <c r="I229" i="6"/>
  <c r="M50" i="6"/>
  <c r="L50" i="6"/>
  <c r="I147" i="6"/>
  <c r="I188" i="6"/>
  <c r="I107" i="6"/>
  <c r="C108" i="6"/>
  <c r="F37" i="6"/>
  <c r="I491" i="6"/>
  <c r="I509" i="6"/>
  <c r="I482" i="6"/>
  <c r="I500" i="6"/>
  <c r="I302" i="6"/>
  <c r="I178" i="6"/>
  <c r="I311" i="6"/>
  <c r="I329" i="6"/>
  <c r="I261" i="6"/>
  <c r="I219" i="6"/>
  <c r="I320" i="6"/>
  <c r="I49" i="6"/>
  <c r="P395" i="6"/>
  <c r="I137" i="6"/>
  <c r="I97" i="6"/>
  <c r="E43" i="6"/>
  <c r="C94" i="6"/>
  <c r="E106" i="6"/>
  <c r="C157" i="6"/>
  <c r="H42" i="6"/>
  <c r="I493" i="6"/>
  <c r="I511" i="6"/>
  <c r="I502" i="6"/>
  <c r="I484" i="6"/>
  <c r="P397" i="6"/>
  <c r="I331" i="6"/>
  <c r="I322" i="6"/>
  <c r="I313" i="6"/>
  <c r="I304" i="6"/>
  <c r="I221" i="6"/>
  <c r="I60" i="6"/>
  <c r="I180" i="6"/>
  <c r="I99" i="6"/>
  <c r="C67" i="6"/>
  <c r="C106" i="6"/>
  <c r="C156" i="6"/>
  <c r="C41" i="6"/>
  <c r="G41" i="6" s="1"/>
  <c r="L42" i="6"/>
  <c r="C46" i="6"/>
  <c r="I51" i="6"/>
  <c r="I52" i="6"/>
  <c r="E67" i="6"/>
  <c r="D112" i="6"/>
  <c r="D103" i="6"/>
  <c r="E108" i="6"/>
  <c r="C137" i="6"/>
  <c r="E157" i="6"/>
  <c r="M42" i="6"/>
  <c r="E46" i="6"/>
  <c r="E94" i="6"/>
  <c r="E230" i="6"/>
  <c r="C52" i="6"/>
  <c r="M40" i="6"/>
  <c r="H43" i="6"/>
  <c r="C69" i="6"/>
  <c r="E584" i="6"/>
  <c r="E565" i="6"/>
  <c r="E524" i="6"/>
  <c r="E483" i="6"/>
  <c r="E575" i="6"/>
  <c r="E564" i="6"/>
  <c r="E482" i="6"/>
  <c r="E536" i="6"/>
  <c r="E535" i="6"/>
  <c r="E534" i="6"/>
  <c r="E594" i="6"/>
  <c r="E566" i="6"/>
  <c r="E494" i="6"/>
  <c r="E493" i="6"/>
  <c r="E492" i="6"/>
  <c r="E491" i="6"/>
  <c r="E585" i="6"/>
  <c r="E554" i="6"/>
  <c r="E553" i="6"/>
  <c r="E552" i="6"/>
  <c r="E551" i="6"/>
  <c r="E583" i="6"/>
  <c r="E582" i="6"/>
  <c r="E574" i="6"/>
  <c r="E573" i="6"/>
  <c r="E567" i="6"/>
  <c r="E527" i="6"/>
  <c r="E545" i="6"/>
  <c r="E544" i="6"/>
  <c r="E543" i="6"/>
  <c r="E542" i="6"/>
  <c r="E526" i="6"/>
  <c r="E485" i="6"/>
  <c r="E593" i="6"/>
  <c r="E501" i="6"/>
  <c r="AF392" i="6"/>
  <c r="E304" i="6"/>
  <c r="E592" i="6"/>
  <c r="E510" i="6"/>
  <c r="E503" i="6"/>
  <c r="E591" i="6"/>
  <c r="E525" i="6"/>
  <c r="E512" i="6"/>
  <c r="E500" i="6"/>
  <c r="E322" i="6"/>
  <c r="E509" i="6"/>
  <c r="E312" i="6"/>
  <c r="E502" i="6"/>
  <c r="E511" i="6"/>
  <c r="E484" i="6"/>
  <c r="E576" i="6"/>
  <c r="E313" i="6"/>
  <c r="E271" i="6"/>
  <c r="E237" i="6"/>
  <c r="E280" i="6"/>
  <c r="E248" i="6"/>
  <c r="E533" i="6"/>
  <c r="E240" i="6"/>
  <c r="E305" i="6"/>
  <c r="E302" i="6"/>
  <c r="E270" i="6"/>
  <c r="E228" i="6"/>
  <c r="E303" i="6"/>
  <c r="E263" i="6"/>
  <c r="E239" i="6"/>
  <c r="E221" i="6"/>
  <c r="E231" i="6"/>
  <c r="E216" i="6"/>
  <c r="E196" i="6"/>
  <c r="E189" i="6"/>
  <c r="E179" i="6"/>
  <c r="E140" i="6"/>
  <c r="E139" i="6"/>
  <c r="E138" i="6"/>
  <c r="E137" i="6"/>
  <c r="E299" i="6"/>
  <c r="E247" i="6"/>
  <c r="E323" i="6"/>
  <c r="E321" i="6"/>
  <c r="E222" i="6"/>
  <c r="E199" i="6"/>
  <c r="E188" i="6"/>
  <c r="E281" i="6"/>
  <c r="E264" i="6"/>
  <c r="E238" i="6"/>
  <c r="E311" i="6"/>
  <c r="E282" i="6"/>
  <c r="E229" i="6"/>
  <c r="E198" i="6"/>
  <c r="E272" i="6"/>
  <c r="E314" i="6"/>
  <c r="E261" i="6"/>
  <c r="E219" i="6"/>
  <c r="G219" i="6" s="1"/>
  <c r="E165" i="6"/>
  <c r="E155" i="6"/>
  <c r="E320" i="6"/>
  <c r="E262" i="6"/>
  <c r="E175" i="6"/>
  <c r="E127" i="6"/>
  <c r="E279" i="6"/>
  <c r="E197" i="6"/>
  <c r="E246" i="6"/>
  <c r="F246" i="6" s="1"/>
  <c r="E166" i="6"/>
  <c r="E100" i="6"/>
  <c r="E99" i="6"/>
  <c r="E98" i="6"/>
  <c r="E97" i="6"/>
  <c r="E68" i="6"/>
  <c r="E149" i="6"/>
  <c r="E146" i="6"/>
  <c r="E134" i="6"/>
  <c r="E58" i="6"/>
  <c r="E258" i="6"/>
  <c r="E158" i="6"/>
  <c r="E52" i="6"/>
  <c r="E273" i="6"/>
  <c r="E220" i="6"/>
  <c r="E164" i="6"/>
  <c r="E69" i="6"/>
  <c r="E55" i="6"/>
  <c r="E249" i="6"/>
  <c r="E178" i="6"/>
  <c r="E156" i="6"/>
  <c r="E167" i="6"/>
  <c r="E147" i="6"/>
  <c r="E181" i="6"/>
  <c r="E126" i="6"/>
  <c r="E117" i="6"/>
  <c r="E107" i="6"/>
  <c r="E50" i="6"/>
  <c r="C124" i="6"/>
  <c r="C138" i="6"/>
  <c r="E190" i="6"/>
  <c r="C545" i="6"/>
  <c r="C544" i="6"/>
  <c r="C543" i="6"/>
  <c r="C542" i="6"/>
  <c r="C526" i="6"/>
  <c r="C485" i="6"/>
  <c r="C593" i="6"/>
  <c r="C525" i="6"/>
  <c r="C503" i="6"/>
  <c r="C502" i="6"/>
  <c r="C501" i="6"/>
  <c r="C500" i="6"/>
  <c r="C484" i="6"/>
  <c r="G484" i="6" s="1"/>
  <c r="C584" i="6"/>
  <c r="C565" i="6"/>
  <c r="C524" i="6"/>
  <c r="C575" i="6"/>
  <c r="C564" i="6"/>
  <c r="C536" i="6"/>
  <c r="C535" i="6"/>
  <c r="C534" i="6"/>
  <c r="C533" i="6"/>
  <c r="C594" i="6"/>
  <c r="C585" i="6"/>
  <c r="C554" i="6"/>
  <c r="C553" i="6"/>
  <c r="G553" i="6" s="1"/>
  <c r="C552" i="6"/>
  <c r="C551" i="6"/>
  <c r="C592" i="6"/>
  <c r="C591" i="6"/>
  <c r="C576" i="6"/>
  <c r="C583" i="6"/>
  <c r="C582" i="6"/>
  <c r="G582" i="6" s="1"/>
  <c r="C574" i="6"/>
  <c r="C573" i="6"/>
  <c r="C567" i="6"/>
  <c r="C494" i="6"/>
  <c r="C510" i="6"/>
  <c r="C491" i="6"/>
  <c r="C483" i="6"/>
  <c r="C512" i="6"/>
  <c r="C493" i="6"/>
  <c r="C527" i="6"/>
  <c r="C303" i="6"/>
  <c r="C509" i="6"/>
  <c r="C566" i="6"/>
  <c r="C482" i="6"/>
  <c r="AD392" i="6"/>
  <c r="C323" i="6"/>
  <c r="C281" i="6"/>
  <c r="C262" i="6"/>
  <c r="C249" i="6"/>
  <c r="C220" i="6"/>
  <c r="C492" i="6"/>
  <c r="C314" i="6"/>
  <c r="C230" i="6"/>
  <c r="C311" i="6"/>
  <c r="G311" i="6" s="1"/>
  <c r="C280" i="6"/>
  <c r="C248" i="6"/>
  <c r="C511" i="6"/>
  <c r="C240" i="6"/>
  <c r="C279" i="6"/>
  <c r="C247" i="6"/>
  <c r="C302" i="6"/>
  <c r="C246" i="6"/>
  <c r="C258" i="6"/>
  <c r="C221" i="6"/>
  <c r="C175" i="6"/>
  <c r="C158" i="6"/>
  <c r="C148" i="6"/>
  <c r="C263" i="6"/>
  <c r="C237" i="6"/>
  <c r="C231" i="6"/>
  <c r="C216" i="6"/>
  <c r="C196" i="6"/>
  <c r="C189" i="6"/>
  <c r="C149" i="6"/>
  <c r="C305" i="6"/>
  <c r="C228" i="6"/>
  <c r="C179" i="6"/>
  <c r="C313" i="6"/>
  <c r="C299" i="6"/>
  <c r="C270" i="6"/>
  <c r="C222" i="6"/>
  <c r="C321" i="6"/>
  <c r="C264" i="6"/>
  <c r="C238" i="6"/>
  <c r="C271" i="6"/>
  <c r="C229" i="6"/>
  <c r="C282" i="6"/>
  <c r="C239" i="6"/>
  <c r="C198" i="6"/>
  <c r="C187" i="6"/>
  <c r="C181" i="6"/>
  <c r="C126" i="6"/>
  <c r="C117" i="6"/>
  <c r="C320" i="6"/>
  <c r="C199" i="6"/>
  <c r="C304" i="6"/>
  <c r="C261" i="6"/>
  <c r="C127" i="6"/>
  <c r="C109" i="6"/>
  <c r="C61" i="6"/>
  <c r="C197" i="6"/>
  <c r="C139" i="6"/>
  <c r="C64" i="6"/>
  <c r="C51" i="6"/>
  <c r="C166" i="6"/>
  <c r="C155" i="6"/>
  <c r="G155" i="6" s="1"/>
  <c r="C100" i="6"/>
  <c r="C99" i="6"/>
  <c r="C98" i="6"/>
  <c r="C97" i="6"/>
  <c r="C68" i="6"/>
  <c r="C146" i="6"/>
  <c r="C140" i="6"/>
  <c r="C134" i="6"/>
  <c r="C58" i="6"/>
  <c r="C273" i="6"/>
  <c r="C164" i="6"/>
  <c r="C312" i="6"/>
  <c r="G312" i="6" s="1"/>
  <c r="C272" i="6"/>
  <c r="C190" i="6"/>
  <c r="C125" i="6"/>
  <c r="C115" i="6"/>
  <c r="C70" i="6"/>
  <c r="C116" i="6"/>
  <c r="E125" i="6"/>
  <c r="I494" i="6"/>
  <c r="I512" i="6"/>
  <c r="I503" i="6"/>
  <c r="I332" i="6"/>
  <c r="P398" i="6"/>
  <c r="I305" i="6"/>
  <c r="I485" i="6"/>
  <c r="I323" i="6"/>
  <c r="I222" i="6"/>
  <c r="I181" i="6"/>
  <c r="I264" i="6"/>
  <c r="I314" i="6"/>
  <c r="L43" i="6"/>
  <c r="I70" i="6"/>
  <c r="I100" i="6"/>
  <c r="I492" i="6"/>
  <c r="I510" i="6"/>
  <c r="P396" i="6"/>
  <c r="I330" i="6"/>
  <c r="I303" i="6"/>
  <c r="I483" i="6"/>
  <c r="I321" i="6"/>
  <c r="I262" i="6"/>
  <c r="I220" i="6"/>
  <c r="I501" i="6"/>
  <c r="I59" i="6"/>
  <c r="I312" i="6"/>
  <c r="I179" i="6"/>
  <c r="I98" i="6"/>
  <c r="I68" i="6"/>
  <c r="L41" i="6"/>
  <c r="C59" i="6"/>
  <c r="I69" i="6"/>
  <c r="C107" i="6"/>
  <c r="E115" i="6"/>
  <c r="F115" i="6" s="1"/>
  <c r="C167" i="6"/>
  <c r="C180" i="6"/>
  <c r="E187" i="6"/>
  <c r="C165" i="6"/>
  <c r="C43" i="6"/>
  <c r="E148" i="6"/>
  <c r="C42" i="6"/>
  <c r="M43" i="6"/>
  <c r="I58" i="6"/>
  <c r="C60" i="6"/>
  <c r="E64" i="6"/>
  <c r="E70" i="6"/>
  <c r="F70" i="6" s="1"/>
  <c r="E124" i="6"/>
  <c r="I138" i="6"/>
  <c r="E180" i="6"/>
  <c r="C55" i="6"/>
  <c r="C40" i="6"/>
  <c r="E59" i="6"/>
  <c r="E60" i="6"/>
  <c r="E61" i="6"/>
  <c r="E109" i="6"/>
  <c r="I263" i="6"/>
  <c r="C322" i="6"/>
  <c r="C178" i="6"/>
  <c r="F40" i="6"/>
  <c r="J40" i="6" s="1"/>
  <c r="E42" i="6"/>
  <c r="C49" i="6"/>
  <c r="C50" i="6"/>
  <c r="C118" i="6"/>
  <c r="C147" i="6"/>
  <c r="C188" i="6"/>
  <c r="D43" i="6"/>
  <c r="D46" i="6"/>
  <c r="D60" i="6"/>
  <c r="D106" i="6"/>
  <c r="D116" i="6"/>
  <c r="F116" i="6" s="1"/>
  <c r="H123" i="6"/>
  <c r="H138" i="6"/>
  <c r="D165" i="6"/>
  <c r="H177" i="6"/>
  <c r="D180" i="6"/>
  <c r="D187" i="6"/>
  <c r="D156" i="6"/>
  <c r="D178" i="6"/>
  <c r="D240" i="6"/>
  <c r="D249" i="6"/>
  <c r="D220" i="6"/>
  <c r="D52" i="6"/>
  <c r="F52" i="6" s="1"/>
  <c r="H206" i="6"/>
  <c r="H199" i="6"/>
  <c r="H188" i="6"/>
  <c r="H125" i="6"/>
  <c r="H181" i="6"/>
  <c r="H178" i="6"/>
  <c r="H205" i="6"/>
  <c r="H198" i="6"/>
  <c r="H187" i="6"/>
  <c r="H197" i="6"/>
  <c r="H190" i="6"/>
  <c r="H158" i="6"/>
  <c r="H148" i="6"/>
  <c r="H115" i="6"/>
  <c r="H147" i="6"/>
  <c r="H154" i="6"/>
  <c r="D158" i="6"/>
  <c r="H167" i="6"/>
  <c r="H207" i="6"/>
  <c r="D58" i="6"/>
  <c r="H124" i="6"/>
  <c r="D134" i="6"/>
  <c r="D146" i="6"/>
  <c r="H156" i="6"/>
  <c r="Z458" i="6"/>
  <c r="S458" i="6" s="1"/>
  <c r="W458" i="6"/>
  <c r="X458" i="6" s="1"/>
  <c r="D68" i="6"/>
  <c r="D97" i="6"/>
  <c r="D98" i="6"/>
  <c r="D99" i="6"/>
  <c r="D100" i="6"/>
  <c r="D155" i="6"/>
  <c r="F155" i="6" s="1"/>
  <c r="D166" i="6"/>
  <c r="H290" i="6"/>
  <c r="H281" i="6"/>
  <c r="H481" i="6"/>
  <c r="G398" i="6"/>
  <c r="D593" i="6"/>
  <c r="D525" i="6"/>
  <c r="D503" i="6"/>
  <c r="D502" i="6"/>
  <c r="D501" i="6"/>
  <c r="D500" i="6"/>
  <c r="D484" i="6"/>
  <c r="D584" i="6"/>
  <c r="D565" i="6"/>
  <c r="F565" i="6" s="1"/>
  <c r="D524" i="6"/>
  <c r="D483" i="6"/>
  <c r="D575" i="6"/>
  <c r="D564" i="6"/>
  <c r="D536" i="6"/>
  <c r="D535" i="6"/>
  <c r="D534" i="6"/>
  <c r="D533" i="6"/>
  <c r="D594" i="6"/>
  <c r="F594" i="6" s="1"/>
  <c r="D566" i="6"/>
  <c r="D494" i="6"/>
  <c r="D493" i="6"/>
  <c r="F493" i="6" s="1"/>
  <c r="D492" i="6"/>
  <c r="D491" i="6"/>
  <c r="D592" i="6"/>
  <c r="D591" i="6"/>
  <c r="D576" i="6"/>
  <c r="D583" i="6"/>
  <c r="D582" i="6"/>
  <c r="F582" i="6" s="1"/>
  <c r="D574" i="6"/>
  <c r="D573" i="6"/>
  <c r="D567" i="6"/>
  <c r="D527" i="6"/>
  <c r="D320" i="6"/>
  <c r="D311" i="6"/>
  <c r="AE392" i="6"/>
  <c r="D552" i="6"/>
  <c r="D544" i="6"/>
  <c r="D510" i="6"/>
  <c r="D485" i="6"/>
  <c r="D512" i="6"/>
  <c r="D585" i="6"/>
  <c r="D543" i="6"/>
  <c r="D303" i="6"/>
  <c r="D551" i="6"/>
  <c r="D322" i="6"/>
  <c r="D554" i="6"/>
  <c r="D509" i="6"/>
  <c r="D542" i="6"/>
  <c r="D511" i="6"/>
  <c r="D553" i="6"/>
  <c r="D482" i="6"/>
  <c r="D314" i="6"/>
  <c r="D230" i="6"/>
  <c r="D313" i="6"/>
  <c r="D312" i="6"/>
  <c r="F312" i="6" s="1"/>
  <c r="D271" i="6"/>
  <c r="D237" i="6"/>
  <c r="F237" i="6" s="1"/>
  <c r="D273" i="6"/>
  <c r="D264" i="6"/>
  <c r="D261" i="6"/>
  <c r="D229" i="6"/>
  <c r="D222" i="6"/>
  <c r="D219" i="6"/>
  <c r="D545" i="6"/>
  <c r="D279" i="6"/>
  <c r="D247" i="6"/>
  <c r="D305" i="6"/>
  <c r="F305" i="6" s="1"/>
  <c r="D304" i="6"/>
  <c r="D302" i="6"/>
  <c r="D270" i="6"/>
  <c r="D228" i="6"/>
  <c r="D262" i="6"/>
  <c r="D258" i="6"/>
  <c r="D221" i="6"/>
  <c r="D526" i="6"/>
  <c r="D280" i="6"/>
  <c r="D263" i="6"/>
  <c r="D231" i="6"/>
  <c r="F231" i="6" s="1"/>
  <c r="D216" i="6"/>
  <c r="D196" i="6"/>
  <c r="D189" i="6"/>
  <c r="F189" i="6" s="1"/>
  <c r="D149" i="6"/>
  <c r="D179" i="6"/>
  <c r="D140" i="6"/>
  <c r="D139" i="6"/>
  <c r="D138" i="6"/>
  <c r="D137" i="6"/>
  <c r="D299" i="6"/>
  <c r="D323" i="6"/>
  <c r="D321" i="6"/>
  <c r="F321" i="6" s="1"/>
  <c r="D199" i="6"/>
  <c r="D281" i="6"/>
  <c r="D238" i="6"/>
  <c r="D248" i="6"/>
  <c r="D282" i="6"/>
  <c r="D239" i="6"/>
  <c r="D198" i="6"/>
  <c r="D272" i="6"/>
  <c r="D164" i="6"/>
  <c r="D51" i="6"/>
  <c r="D64" i="6"/>
  <c r="H140" i="6"/>
  <c r="H164" i="6"/>
  <c r="H189" i="6"/>
  <c r="D197" i="6"/>
  <c r="D118" i="6"/>
  <c r="D148" i="6"/>
  <c r="D157" i="6"/>
  <c r="D188" i="6"/>
  <c r="E373" i="6"/>
  <c r="G373" i="6" s="1"/>
  <c r="E369" i="6"/>
  <c r="G369" i="6" s="1"/>
  <c r="E386" i="6"/>
  <c r="G386" i="6" s="1"/>
  <c r="E383" i="6"/>
  <c r="G383" i="6" s="1"/>
  <c r="E380" i="6"/>
  <c r="G380" i="6" s="1"/>
  <c r="E377" i="6"/>
  <c r="G377" i="6" s="1"/>
  <c r="E387" i="6"/>
  <c r="G387" i="6" s="1"/>
  <c r="E384" i="6"/>
  <c r="G384" i="6" s="1"/>
  <c r="E381" i="6"/>
  <c r="G381" i="6" s="1"/>
  <c r="E378" i="6"/>
  <c r="G378" i="6" s="1"/>
  <c r="X395" i="6"/>
  <c r="E375" i="6"/>
  <c r="G375" i="6" s="1"/>
  <c r="E371" i="6"/>
  <c r="G371" i="6" s="1"/>
  <c r="E382" i="6"/>
  <c r="G382" i="6" s="1"/>
  <c r="E388" i="6"/>
  <c r="G388" i="6" s="1"/>
  <c r="E379" i="6"/>
  <c r="G379" i="6" s="1"/>
  <c r="E370" i="6"/>
  <c r="G370" i="6" s="1"/>
  <c r="E372" i="6"/>
  <c r="G372" i="6" s="1"/>
  <c r="E385" i="6"/>
  <c r="G385" i="6" s="1"/>
  <c r="E374" i="6"/>
  <c r="G374" i="6" s="1"/>
  <c r="N178" i="6"/>
  <c r="N181" i="6"/>
  <c r="C371" i="6"/>
  <c r="C388" i="6"/>
  <c r="C405" i="6"/>
  <c r="C407" i="6"/>
  <c r="N206" i="6"/>
  <c r="D377" i="6"/>
  <c r="F377" i="6" s="1"/>
  <c r="C385" i="6"/>
  <c r="C401" i="6"/>
  <c r="C425" i="6"/>
  <c r="C421" i="6"/>
  <c r="C439" i="6"/>
  <c r="C436" i="6"/>
  <c r="C433" i="6"/>
  <c r="C430" i="6"/>
  <c r="C413" i="6"/>
  <c r="C411" i="6"/>
  <c r="C406" i="6"/>
  <c r="C403" i="6"/>
  <c r="C400" i="6"/>
  <c r="C428" i="6"/>
  <c r="C412" i="6"/>
  <c r="C398" i="6"/>
  <c r="C434" i="6"/>
  <c r="C440" i="6"/>
  <c r="C438" i="6"/>
  <c r="C397" i="6"/>
  <c r="C374" i="6"/>
  <c r="C370" i="6"/>
  <c r="C402" i="6"/>
  <c r="C422" i="6"/>
  <c r="C387" i="6"/>
  <c r="C384" i="6"/>
  <c r="C381" i="6"/>
  <c r="C378" i="6"/>
  <c r="C414" i="6"/>
  <c r="C399" i="6"/>
  <c r="H399" i="6" s="1"/>
  <c r="J399" i="6" s="1"/>
  <c r="C404" i="6"/>
  <c r="H404" i="6" s="1"/>
  <c r="J404" i="6" s="1"/>
  <c r="C435" i="6"/>
  <c r="C431" i="6"/>
  <c r="C427" i="6"/>
  <c r="C380" i="6"/>
  <c r="C424" i="6"/>
  <c r="C382" i="6"/>
  <c r="C437" i="6"/>
  <c r="H437" i="6" s="1"/>
  <c r="J437" i="6" s="1"/>
  <c r="C409" i="6"/>
  <c r="C386" i="6"/>
  <c r="C377" i="6"/>
  <c r="H377" i="6" s="1"/>
  <c r="J377" i="6" s="1"/>
  <c r="C429" i="6"/>
  <c r="C426" i="6"/>
  <c r="C396" i="6"/>
  <c r="Z451" i="6"/>
  <c r="S451" i="6" s="1"/>
  <c r="W451" i="6"/>
  <c r="X451" i="6" s="1"/>
  <c r="N189" i="6"/>
  <c r="N196" i="6"/>
  <c r="N207" i="6"/>
  <c r="D372" i="6"/>
  <c r="F372" i="6" s="1"/>
  <c r="D382" i="6"/>
  <c r="F382" i="6" s="1"/>
  <c r="C395" i="6"/>
  <c r="H313" i="6"/>
  <c r="O313" i="6" s="1"/>
  <c r="C375" i="6"/>
  <c r="D386" i="6"/>
  <c r="F386" i="6" s="1"/>
  <c r="H305" i="6"/>
  <c r="H302" i="6"/>
  <c r="H304" i="6"/>
  <c r="H303" i="6"/>
  <c r="C383" i="6"/>
  <c r="S398" i="6"/>
  <c r="D373" i="6"/>
  <c r="F373" i="6" s="1"/>
  <c r="D369" i="6"/>
  <c r="F369" i="6" s="1"/>
  <c r="S397" i="6"/>
  <c r="D387" i="6"/>
  <c r="F387" i="6" s="1"/>
  <c r="D384" i="6"/>
  <c r="F384" i="6" s="1"/>
  <c r="D381" i="6"/>
  <c r="F381" i="6" s="1"/>
  <c r="D378" i="6"/>
  <c r="F378" i="6" s="1"/>
  <c r="W395" i="6"/>
  <c r="D375" i="6"/>
  <c r="F375" i="6" s="1"/>
  <c r="D371" i="6"/>
  <c r="F371" i="6" s="1"/>
  <c r="D385" i="6"/>
  <c r="F385" i="6" s="1"/>
  <c r="D376" i="6"/>
  <c r="F376" i="6" s="1"/>
  <c r="H376" i="6" s="1"/>
  <c r="J376" i="6" s="1"/>
  <c r="D374" i="6"/>
  <c r="F374" i="6" s="1"/>
  <c r="D380" i="6"/>
  <c r="F380" i="6" s="1"/>
  <c r="S395" i="6"/>
  <c r="D388" i="6"/>
  <c r="F388" i="6" s="1"/>
  <c r="D379" i="6"/>
  <c r="F379" i="6" s="1"/>
  <c r="D383" i="6"/>
  <c r="F383" i="6" s="1"/>
  <c r="C432" i="6"/>
  <c r="H238" i="6"/>
  <c r="E440" i="6"/>
  <c r="E437" i="6"/>
  <c r="G437" i="6" s="1"/>
  <c r="E434" i="6"/>
  <c r="G434" i="6" s="1"/>
  <c r="E431" i="6"/>
  <c r="G431" i="6" s="1"/>
  <c r="E428" i="6"/>
  <c r="G428" i="6" s="1"/>
  <c r="E424" i="6"/>
  <c r="G424" i="6" s="1"/>
  <c r="E427" i="6"/>
  <c r="G427" i="6" s="1"/>
  <c r="E423" i="6"/>
  <c r="G423" i="6" s="1"/>
  <c r="E430" i="6"/>
  <c r="G430" i="6" s="1"/>
  <c r="E421" i="6"/>
  <c r="G421" i="6" s="1"/>
  <c r="E436" i="6"/>
  <c r="G436" i="6" s="1"/>
  <c r="E438" i="6"/>
  <c r="G438" i="6" s="1"/>
  <c r="E422" i="6"/>
  <c r="G422" i="6" s="1"/>
  <c r="E429" i="6"/>
  <c r="G429" i="6" s="1"/>
  <c r="E435" i="6"/>
  <c r="G435" i="6" s="1"/>
  <c r="E425" i="6"/>
  <c r="G425" i="6" s="1"/>
  <c r="H231" i="6"/>
  <c r="E433" i="6"/>
  <c r="G433" i="6" s="1"/>
  <c r="H221" i="6"/>
  <c r="H236" i="6"/>
  <c r="H239" i="6"/>
  <c r="C548" i="6"/>
  <c r="F548" i="6" s="1"/>
  <c r="F521" i="6"/>
  <c r="C539" i="6"/>
  <c r="F539" i="6" s="1"/>
  <c r="C530" i="6"/>
  <c r="H247" i="6"/>
  <c r="S410" i="6"/>
  <c r="D539" i="6"/>
  <c r="D530" i="6"/>
  <c r="D548" i="6"/>
  <c r="E460" i="6"/>
  <c r="E453" i="6"/>
  <c r="E451" i="6"/>
  <c r="E470" i="6"/>
  <c r="E466" i="6"/>
  <c r="E467" i="6"/>
  <c r="E457" i="6"/>
  <c r="E455" i="6"/>
  <c r="E463" i="6"/>
  <c r="E461" i="6"/>
  <c r="E468" i="6"/>
  <c r="E465" i="6"/>
  <c r="E456" i="6"/>
  <c r="E459" i="6"/>
  <c r="E458" i="6"/>
  <c r="E462" i="6"/>
  <c r="E454" i="6"/>
  <c r="E469" i="6"/>
  <c r="E464" i="6"/>
  <c r="E452" i="6"/>
  <c r="D408" i="6"/>
  <c r="F408" i="6" s="1"/>
  <c r="Q460" i="6"/>
  <c r="D413" i="6"/>
  <c r="F413" i="6" s="1"/>
  <c r="S405" i="6"/>
  <c r="D412" i="6"/>
  <c r="F412" i="6" s="1"/>
  <c r="D407" i="6"/>
  <c r="F407" i="6" s="1"/>
  <c r="S402" i="6"/>
  <c r="D431" i="6"/>
  <c r="F431" i="6" s="1"/>
  <c r="F470" i="6"/>
  <c r="F461" i="6"/>
  <c r="F452" i="6"/>
  <c r="F467" i="6"/>
  <c r="F468" i="6"/>
  <c r="F455" i="6"/>
  <c r="F459" i="6"/>
  <c r="F454" i="6"/>
  <c r="N460" i="6"/>
  <c r="F464" i="6"/>
  <c r="F469" i="6"/>
  <c r="C488" i="6"/>
  <c r="E412" i="6"/>
  <c r="G412" i="6" s="1"/>
  <c r="E407" i="6"/>
  <c r="G407" i="6" s="1"/>
  <c r="E411" i="6"/>
  <c r="G411" i="6" s="1"/>
  <c r="S409" i="6"/>
  <c r="F451" i="6"/>
  <c r="Z465" i="6"/>
  <c r="S465" i="6" s="1"/>
  <c r="N467" i="6"/>
  <c r="D438" i="6"/>
  <c r="F438" i="6" s="1"/>
  <c r="D435" i="6"/>
  <c r="F435" i="6" s="1"/>
  <c r="D432" i="6"/>
  <c r="F432" i="6" s="1"/>
  <c r="D429" i="6"/>
  <c r="F429" i="6" s="1"/>
  <c r="Q466" i="6"/>
  <c r="D439" i="6"/>
  <c r="F439" i="6" s="1"/>
  <c r="D436" i="6"/>
  <c r="F436" i="6" s="1"/>
  <c r="D433" i="6"/>
  <c r="F433" i="6" s="1"/>
  <c r="D430" i="6"/>
  <c r="F430" i="6" s="1"/>
  <c r="Q467" i="6"/>
  <c r="D427" i="6"/>
  <c r="F427" i="6" s="1"/>
  <c r="D423" i="6"/>
  <c r="F423" i="6" s="1"/>
  <c r="D402" i="6"/>
  <c r="F402" i="6" s="1"/>
  <c r="W402" i="6"/>
  <c r="F462" i="6"/>
  <c r="P454" i="6"/>
  <c r="N461" i="6"/>
  <c r="O454" i="6"/>
  <c r="D579" i="6"/>
  <c r="D570" i="6"/>
  <c r="P458" i="6"/>
  <c r="C506" i="6"/>
  <c r="F506" i="6" s="1"/>
  <c r="F479" i="6"/>
  <c r="S403" i="6"/>
  <c r="E409" i="6"/>
  <c r="G409" i="6" s="1"/>
  <c r="O453" i="6"/>
  <c r="Q453" i="6" s="1"/>
  <c r="Q458" i="6"/>
  <c r="D506" i="6"/>
  <c r="D497" i="6"/>
  <c r="D488" i="6"/>
  <c r="D398" i="6"/>
  <c r="F398" i="6" s="1"/>
  <c r="S404" i="6"/>
  <c r="D428" i="6"/>
  <c r="F428" i="6" s="1"/>
  <c r="Q459" i="6"/>
  <c r="F463" i="6"/>
  <c r="N468" i="6"/>
  <c r="E497" i="6"/>
  <c r="F497" i="6" s="1"/>
  <c r="E488" i="6"/>
  <c r="F561" i="6"/>
  <c r="C570" i="6"/>
  <c r="C579" i="6"/>
  <c r="F181" i="6" l="1"/>
  <c r="F592" i="6"/>
  <c r="F240" i="6"/>
  <c r="G98" i="6"/>
  <c r="G189" i="6"/>
  <c r="J189" i="6" s="1"/>
  <c r="G583" i="6"/>
  <c r="F509" i="6"/>
  <c r="F567" i="6"/>
  <c r="F484" i="6"/>
  <c r="J484" i="6" s="1"/>
  <c r="K484" i="6" s="1"/>
  <c r="L484" i="6" s="1"/>
  <c r="M484" i="6" s="1"/>
  <c r="N484" i="6" s="1"/>
  <c r="F178" i="6"/>
  <c r="G178" i="6"/>
  <c r="G146" i="6"/>
  <c r="G228" i="6"/>
  <c r="G565" i="6"/>
  <c r="G593" i="6"/>
  <c r="F543" i="6"/>
  <c r="F311" i="6"/>
  <c r="J311" i="6" s="1"/>
  <c r="F146" i="6"/>
  <c r="F165" i="6"/>
  <c r="J165" i="6" s="1"/>
  <c r="G188" i="6"/>
  <c r="G493" i="6"/>
  <c r="H411" i="6"/>
  <c r="J411" i="6" s="1"/>
  <c r="G190" i="6"/>
  <c r="H410" i="6"/>
  <c r="J410" i="6" s="1"/>
  <c r="F579" i="6"/>
  <c r="H408" i="6"/>
  <c r="J408" i="6" s="1"/>
  <c r="H396" i="6"/>
  <c r="J396" i="6" s="1"/>
  <c r="H397" i="6"/>
  <c r="J397" i="6" s="1"/>
  <c r="H403" i="6"/>
  <c r="J403" i="6" s="1"/>
  <c r="F248" i="6"/>
  <c r="F247" i="6"/>
  <c r="F273" i="6"/>
  <c r="F313" i="6"/>
  <c r="J313" i="6" s="1"/>
  <c r="F500" i="6"/>
  <c r="F100" i="6"/>
  <c r="F106" i="6"/>
  <c r="M138" i="6"/>
  <c r="H379" i="6"/>
  <c r="J379" i="6" s="1"/>
  <c r="H369" i="6"/>
  <c r="J369" i="6" s="1"/>
  <c r="H426" i="6"/>
  <c r="J426" i="6" s="1"/>
  <c r="O465" i="6" s="1"/>
  <c r="H438" i="6"/>
  <c r="J438" i="6" s="1"/>
  <c r="H406" i="6"/>
  <c r="J406" i="6" s="1"/>
  <c r="H272" i="6"/>
  <c r="F302" i="6"/>
  <c r="M146" i="6"/>
  <c r="Q136" i="6" s="1"/>
  <c r="I10" i="6" s="1"/>
  <c r="L67" i="6"/>
  <c r="M67" i="6"/>
  <c r="I124" i="6"/>
  <c r="I288" i="6"/>
  <c r="I164" i="6"/>
  <c r="I205" i="6"/>
  <c r="G279" i="6"/>
  <c r="G240" i="6"/>
  <c r="J240" i="6" s="1"/>
  <c r="G323" i="6"/>
  <c r="G554" i="6"/>
  <c r="F534" i="6"/>
  <c r="F98" i="6"/>
  <c r="J98" i="6" s="1"/>
  <c r="K98" i="6" s="1"/>
  <c r="L98" i="6" s="1"/>
  <c r="G164" i="6"/>
  <c r="F164" i="6"/>
  <c r="F583" i="6"/>
  <c r="J583" i="6" s="1"/>
  <c r="K583" i="6" s="1"/>
  <c r="G50" i="6"/>
  <c r="G165" i="6"/>
  <c r="G51" i="6"/>
  <c r="G49" i="6"/>
  <c r="J49" i="6" s="1"/>
  <c r="P49" i="6" s="1"/>
  <c r="F188" i="6"/>
  <c r="J188" i="6" s="1"/>
  <c r="F593" i="6"/>
  <c r="G509" i="6"/>
  <c r="G534" i="6"/>
  <c r="F190" i="6"/>
  <c r="J190" i="6" s="1"/>
  <c r="F118" i="6"/>
  <c r="F109" i="6"/>
  <c r="F69" i="6"/>
  <c r="F107" i="6"/>
  <c r="F42" i="6"/>
  <c r="T451" i="6"/>
  <c r="H427" i="6"/>
  <c r="J427" i="6" s="1"/>
  <c r="H401" i="6"/>
  <c r="J401" i="6" s="1"/>
  <c r="H371" i="6"/>
  <c r="J371" i="6" s="1"/>
  <c r="F198" i="6"/>
  <c r="F544" i="6"/>
  <c r="J493" i="6"/>
  <c r="M493" i="6" s="1"/>
  <c r="N493" i="6" s="1"/>
  <c r="F117" i="6"/>
  <c r="M148" i="6"/>
  <c r="F570" i="6"/>
  <c r="H414" i="6"/>
  <c r="J414" i="6" s="1"/>
  <c r="H400" i="6"/>
  <c r="J400" i="6" s="1"/>
  <c r="O458" i="6" s="1"/>
  <c r="H385" i="6"/>
  <c r="J385" i="6" s="1"/>
  <c r="H289" i="6"/>
  <c r="F239" i="6"/>
  <c r="F140" i="6"/>
  <c r="F261" i="6"/>
  <c r="F271" i="6"/>
  <c r="F552" i="6"/>
  <c r="J582" i="6"/>
  <c r="K582" i="6" s="1"/>
  <c r="F575" i="6"/>
  <c r="F502" i="6"/>
  <c r="G118" i="6"/>
  <c r="J118" i="6" s="1"/>
  <c r="K118" i="6" s="1"/>
  <c r="G40" i="6"/>
  <c r="AE395" i="6" s="1"/>
  <c r="G261" i="6"/>
  <c r="G271" i="6"/>
  <c r="G302" i="6"/>
  <c r="G230" i="6"/>
  <c r="G483" i="6"/>
  <c r="F126" i="6"/>
  <c r="J126" i="6" s="1"/>
  <c r="M164" i="6"/>
  <c r="M166" i="6"/>
  <c r="F49" i="6"/>
  <c r="AB409" i="6"/>
  <c r="U409" i="6" s="1"/>
  <c r="Y409" i="6"/>
  <c r="Z409" i="6" s="1"/>
  <c r="H395" i="6"/>
  <c r="J395" i="6" s="1"/>
  <c r="H370" i="6"/>
  <c r="J370" i="6" s="1"/>
  <c r="F197" i="6"/>
  <c r="F230" i="6"/>
  <c r="J230" i="6" s="1"/>
  <c r="O230" i="6" s="1"/>
  <c r="F585" i="6"/>
  <c r="F591" i="6"/>
  <c r="G147" i="6"/>
  <c r="F61" i="6"/>
  <c r="G575" i="6"/>
  <c r="M140" i="6"/>
  <c r="M156" i="6"/>
  <c r="AH40" i="6"/>
  <c r="AE40" i="6"/>
  <c r="H423" i="6"/>
  <c r="J423" i="6" s="1"/>
  <c r="F530" i="6"/>
  <c r="H373" i="6"/>
  <c r="J373" i="6" s="1"/>
  <c r="H372" i="6"/>
  <c r="J372" i="6" s="1"/>
  <c r="H422" i="6"/>
  <c r="J422" i="6" s="1"/>
  <c r="H405" i="6"/>
  <c r="J405" i="6" s="1"/>
  <c r="F148" i="6"/>
  <c r="F491" i="6"/>
  <c r="F566" i="6"/>
  <c r="F483" i="6"/>
  <c r="J483" i="6" s="1"/>
  <c r="K483" i="6" s="1"/>
  <c r="M149" i="6"/>
  <c r="G167" i="6"/>
  <c r="G239" i="6"/>
  <c r="G247" i="6"/>
  <c r="J247" i="6" s="1"/>
  <c r="G552" i="6"/>
  <c r="G536" i="6"/>
  <c r="M139" i="6"/>
  <c r="M158" i="6"/>
  <c r="L61" i="6"/>
  <c r="I240" i="6"/>
  <c r="M61" i="6"/>
  <c r="I199" i="6"/>
  <c r="I282" i="6"/>
  <c r="Q452" i="6"/>
  <c r="Q451" i="6"/>
  <c r="H270" i="6"/>
  <c r="H273" i="6"/>
  <c r="H291" i="6"/>
  <c r="H282" i="6"/>
  <c r="H279" i="6"/>
  <c r="H288" i="6"/>
  <c r="M137" i="6"/>
  <c r="M147" i="6"/>
  <c r="M157" i="6"/>
  <c r="M167" i="6"/>
  <c r="M165" i="6"/>
  <c r="H41" i="6"/>
  <c r="H58" i="6"/>
  <c r="H59" i="6" s="1"/>
  <c r="H49" i="6"/>
  <c r="H52" i="6" s="1"/>
  <c r="F263" i="6"/>
  <c r="F279" i="6"/>
  <c r="G58" i="6"/>
  <c r="G280" i="6"/>
  <c r="F51" i="6"/>
  <c r="F280" i="6"/>
  <c r="F545" i="6"/>
  <c r="F314" i="6"/>
  <c r="F512" i="6"/>
  <c r="F158" i="6"/>
  <c r="G313" i="6"/>
  <c r="G158" i="6"/>
  <c r="G503" i="6"/>
  <c r="G482" i="6"/>
  <c r="F482" i="6"/>
  <c r="F503" i="6"/>
  <c r="F553" i="6"/>
  <c r="J553" i="6" s="1"/>
  <c r="F510" i="6"/>
  <c r="F576" i="6"/>
  <c r="J576" i="6" s="1"/>
  <c r="K576" i="6" s="1"/>
  <c r="G116" i="6"/>
  <c r="J116" i="6" s="1"/>
  <c r="G61" i="6"/>
  <c r="G221" i="6"/>
  <c r="G314" i="6"/>
  <c r="G527" i="6"/>
  <c r="G576" i="6"/>
  <c r="G126" i="6"/>
  <c r="F229" i="6"/>
  <c r="F157" i="6"/>
  <c r="F262" i="6"/>
  <c r="F542" i="6"/>
  <c r="G127" i="6"/>
  <c r="G229" i="6"/>
  <c r="G149" i="6"/>
  <c r="G512" i="6"/>
  <c r="F167" i="6"/>
  <c r="G542" i="6"/>
  <c r="F554" i="6"/>
  <c r="J554" i="6" s="1"/>
  <c r="G491" i="6"/>
  <c r="G543" i="6"/>
  <c r="J543" i="6" s="1"/>
  <c r="K543" i="6" s="1"/>
  <c r="L543" i="6" s="1"/>
  <c r="M543" i="6" s="1"/>
  <c r="N543" i="6" s="1"/>
  <c r="G321" i="6"/>
  <c r="J321" i="6" s="1"/>
  <c r="F166" i="6"/>
  <c r="G231" i="6"/>
  <c r="J231" i="6" s="1"/>
  <c r="O231" i="6" s="1"/>
  <c r="G545" i="6"/>
  <c r="F199" i="6"/>
  <c r="F58" i="6"/>
  <c r="F43" i="6"/>
  <c r="G166" i="6"/>
  <c r="D193" i="6"/>
  <c r="F124" i="6"/>
  <c r="D184" i="6"/>
  <c r="F127" i="6"/>
  <c r="F125" i="6"/>
  <c r="F108" i="6"/>
  <c r="F67" i="6"/>
  <c r="J41" i="6"/>
  <c r="K41" i="6" s="1"/>
  <c r="J575" i="6"/>
  <c r="K575" i="6" s="1"/>
  <c r="T398" i="6"/>
  <c r="I118" i="6"/>
  <c r="T396" i="6"/>
  <c r="G99" i="6"/>
  <c r="G196" i="6"/>
  <c r="F323" i="6"/>
  <c r="J323" i="6" s="1"/>
  <c r="F574" i="6"/>
  <c r="F533" i="6"/>
  <c r="F501" i="6"/>
  <c r="F99" i="6"/>
  <c r="G107" i="6"/>
  <c r="G272" i="6"/>
  <c r="G100" i="6"/>
  <c r="G199" i="6"/>
  <c r="G264" i="6"/>
  <c r="F180" i="6"/>
  <c r="F526" i="6"/>
  <c r="F219" i="6"/>
  <c r="J219" i="6" s="1"/>
  <c r="F485" i="6"/>
  <c r="F535" i="6"/>
  <c r="F97" i="6"/>
  <c r="G42" i="6"/>
  <c r="G117" i="6"/>
  <c r="G222" i="6"/>
  <c r="G567" i="6"/>
  <c r="G500" i="6"/>
  <c r="J500" i="6" s="1"/>
  <c r="K500" i="6" s="1"/>
  <c r="L500" i="6" s="1"/>
  <c r="M500" i="6" s="1"/>
  <c r="N500" i="6" s="1"/>
  <c r="G67" i="6"/>
  <c r="G320" i="6"/>
  <c r="F272" i="6"/>
  <c r="F138" i="6"/>
  <c r="F221" i="6"/>
  <c r="F222" i="6"/>
  <c r="F536" i="6"/>
  <c r="F525" i="6"/>
  <c r="F68" i="6"/>
  <c r="G273" i="6"/>
  <c r="G248" i="6"/>
  <c r="J248" i="6" s="1"/>
  <c r="G138" i="6"/>
  <c r="F564" i="6"/>
  <c r="M573" i="6" s="1"/>
  <c r="F64" i="6"/>
  <c r="G181" i="6"/>
  <c r="J181" i="6" s="1"/>
  <c r="G148" i="6"/>
  <c r="G566" i="6"/>
  <c r="G574" i="6"/>
  <c r="G533" i="6"/>
  <c r="G502" i="6"/>
  <c r="F179" i="6"/>
  <c r="F228" i="6"/>
  <c r="F264" i="6"/>
  <c r="J509" i="6"/>
  <c r="G140" i="6"/>
  <c r="J140" i="6" s="1"/>
  <c r="K140" i="6" s="1"/>
  <c r="L140" i="6" s="1"/>
  <c r="F220" i="6"/>
  <c r="F322" i="6"/>
  <c r="F320" i="6"/>
  <c r="J565" i="6"/>
  <c r="K565" i="6" s="1"/>
  <c r="G68" i="6"/>
  <c r="F281" i="6"/>
  <c r="F196" i="6"/>
  <c r="F551" i="6"/>
  <c r="F55" i="6"/>
  <c r="G115" i="6"/>
  <c r="J115" i="6" s="1"/>
  <c r="K115" i="6" s="1"/>
  <c r="G97" i="6"/>
  <c r="G246" i="6"/>
  <c r="J246" i="6" s="1"/>
  <c r="G220" i="6"/>
  <c r="G592" i="6"/>
  <c r="J592" i="6" s="1"/>
  <c r="K592" i="6" s="1"/>
  <c r="G526" i="6"/>
  <c r="F50" i="6"/>
  <c r="F59" i="6"/>
  <c r="F147" i="6"/>
  <c r="D207" i="6"/>
  <c r="D206" i="6"/>
  <c r="I279" i="6"/>
  <c r="I196" i="6"/>
  <c r="I237" i="6"/>
  <c r="I115" i="6"/>
  <c r="L58" i="6"/>
  <c r="M58" i="6"/>
  <c r="I155" i="6"/>
  <c r="E152" i="6"/>
  <c r="E143" i="6"/>
  <c r="E161" i="6"/>
  <c r="E121" i="6"/>
  <c r="E103" i="6"/>
  <c r="E112" i="6"/>
  <c r="H375" i="6"/>
  <c r="J375" i="6" s="1"/>
  <c r="H380" i="6"/>
  <c r="J380" i="6" s="1"/>
  <c r="H402" i="6"/>
  <c r="J402" i="6" s="1"/>
  <c r="O459" i="6" s="1"/>
  <c r="F139" i="6"/>
  <c r="D285" i="6"/>
  <c r="D288" i="6" s="1"/>
  <c r="D276" i="6"/>
  <c r="D267" i="6"/>
  <c r="F511" i="6"/>
  <c r="J593" i="6"/>
  <c r="K593" i="6" s="1"/>
  <c r="F60" i="6"/>
  <c r="G180" i="6"/>
  <c r="G70" i="6"/>
  <c r="J70" i="6" s="1"/>
  <c r="G109" i="6"/>
  <c r="G282" i="6"/>
  <c r="G305" i="6"/>
  <c r="J305" i="6" s="1"/>
  <c r="C267" i="6"/>
  <c r="C285" i="6"/>
  <c r="F258" i="6"/>
  <c r="C276" i="6"/>
  <c r="G492" i="6"/>
  <c r="G591" i="6"/>
  <c r="G564" i="6"/>
  <c r="G485" i="6"/>
  <c r="J485" i="6" s="1"/>
  <c r="E202" i="6"/>
  <c r="E205" i="6" s="1"/>
  <c r="F205" i="6" s="1"/>
  <c r="E184" i="6"/>
  <c r="E193" i="6"/>
  <c r="G137" i="6"/>
  <c r="I273" i="6"/>
  <c r="I149" i="6"/>
  <c r="I231" i="6"/>
  <c r="I190" i="6"/>
  <c r="M52" i="6"/>
  <c r="I109" i="6"/>
  <c r="L52" i="6"/>
  <c r="T395" i="6"/>
  <c r="T397" i="6"/>
  <c r="H431" i="6"/>
  <c r="J431" i="6" s="1"/>
  <c r="H374" i="6"/>
  <c r="J374" i="6" s="1"/>
  <c r="H413" i="6"/>
  <c r="J413" i="6" s="1"/>
  <c r="F282" i="6"/>
  <c r="H494" i="6"/>
  <c r="H493" i="6"/>
  <c r="H492" i="6"/>
  <c r="H491" i="6"/>
  <c r="H499" i="6"/>
  <c r="H508" i="6"/>
  <c r="H483" i="6"/>
  <c r="H482" i="6"/>
  <c r="H510" i="6"/>
  <c r="H485" i="6"/>
  <c r="H503" i="6"/>
  <c r="H512" i="6"/>
  <c r="H500" i="6"/>
  <c r="H509" i="6"/>
  <c r="H490" i="6"/>
  <c r="H502" i="6"/>
  <c r="H511" i="6"/>
  <c r="H484" i="6"/>
  <c r="H501" i="6"/>
  <c r="S461" i="6"/>
  <c r="S460" i="6"/>
  <c r="S459" i="6"/>
  <c r="F156" i="6"/>
  <c r="G125" i="6"/>
  <c r="G249" i="6"/>
  <c r="G551" i="6"/>
  <c r="G524" i="6"/>
  <c r="F46" i="6"/>
  <c r="I281" i="6"/>
  <c r="I198" i="6"/>
  <c r="I239" i="6"/>
  <c r="L60" i="6"/>
  <c r="I117" i="6"/>
  <c r="I157" i="6"/>
  <c r="M60" i="6"/>
  <c r="Q454" i="6"/>
  <c r="P461" i="6"/>
  <c r="F488" i="6"/>
  <c r="H435" i="6"/>
  <c r="J435" i="6" s="1"/>
  <c r="H430" i="6"/>
  <c r="J430" i="6" s="1"/>
  <c r="F149" i="6"/>
  <c r="F270" i="6"/>
  <c r="F492" i="6"/>
  <c r="F524" i="6"/>
  <c r="I289" i="6"/>
  <c r="I247" i="6"/>
  <c r="I125" i="6"/>
  <c r="I165" i="6"/>
  <c r="M68" i="6"/>
  <c r="L68" i="6"/>
  <c r="I206" i="6"/>
  <c r="P410" i="6"/>
  <c r="R396" i="6"/>
  <c r="P403" i="6"/>
  <c r="Q396" i="6"/>
  <c r="G304" i="6"/>
  <c r="G238" i="6"/>
  <c r="G262" i="6"/>
  <c r="H429" i="6"/>
  <c r="J429" i="6" s="1"/>
  <c r="F187" i="6"/>
  <c r="AD395" i="6"/>
  <c r="P412" i="6"/>
  <c r="R398" i="6"/>
  <c r="P405" i="6"/>
  <c r="C225" i="6"/>
  <c r="C243" i="6"/>
  <c r="C234" i="6"/>
  <c r="F216" i="6"/>
  <c r="G281" i="6"/>
  <c r="G510" i="6"/>
  <c r="G584" i="6"/>
  <c r="G544" i="6"/>
  <c r="G157" i="6"/>
  <c r="K553" i="6"/>
  <c r="L553" i="6" s="1"/>
  <c r="G440" i="6"/>
  <c r="H440" i="6" s="1"/>
  <c r="J440" i="6" s="1"/>
  <c r="H523" i="6"/>
  <c r="H436" i="6"/>
  <c r="J436" i="6" s="1"/>
  <c r="F304" i="6"/>
  <c r="F527" i="6"/>
  <c r="F494" i="6"/>
  <c r="F584" i="6"/>
  <c r="J146" i="6"/>
  <c r="I290" i="6"/>
  <c r="I126" i="6"/>
  <c r="I248" i="6"/>
  <c r="I207" i="6"/>
  <c r="L69" i="6"/>
  <c r="M69" i="6"/>
  <c r="I166" i="6"/>
  <c r="G494" i="6"/>
  <c r="Q139" i="6"/>
  <c r="L10" i="6" s="1"/>
  <c r="J178" i="6"/>
  <c r="I272" i="6"/>
  <c r="I230" i="6"/>
  <c r="I189" i="6"/>
  <c r="M51" i="6"/>
  <c r="I108" i="6"/>
  <c r="L51" i="6"/>
  <c r="I148" i="6"/>
  <c r="H433" i="6"/>
  <c r="J433" i="6" s="1"/>
  <c r="P468" i="6"/>
  <c r="AB402" i="6"/>
  <c r="U402" i="6" s="1"/>
  <c r="Y402" i="6"/>
  <c r="Z402" i="6" s="1"/>
  <c r="P460" i="6"/>
  <c r="G464" i="6"/>
  <c r="G462" i="6"/>
  <c r="H458" i="6"/>
  <c r="H456" i="6"/>
  <c r="H469" i="6"/>
  <c r="G468" i="6"/>
  <c r="G469" i="6"/>
  <c r="H465" i="6"/>
  <c r="H463" i="6"/>
  <c r="H460" i="6"/>
  <c r="G459" i="6"/>
  <c r="G454" i="6"/>
  <c r="H453" i="6"/>
  <c r="H451" i="6"/>
  <c r="H470" i="6"/>
  <c r="H461" i="6"/>
  <c r="G460" i="6"/>
  <c r="G453" i="6"/>
  <c r="H452" i="6"/>
  <c r="G451" i="6"/>
  <c r="G461" i="6"/>
  <c r="H468" i="6"/>
  <c r="H466" i="6"/>
  <c r="G465" i="6"/>
  <c r="G456" i="6"/>
  <c r="G452" i="6"/>
  <c r="G466" i="6"/>
  <c r="H459" i="6"/>
  <c r="G458" i="6"/>
  <c r="G470" i="6"/>
  <c r="H462" i="6"/>
  <c r="H454" i="6"/>
  <c r="H464" i="6"/>
  <c r="H467" i="6"/>
  <c r="H455" i="6"/>
  <c r="G467" i="6"/>
  <c r="H457" i="6"/>
  <c r="G455" i="6"/>
  <c r="G457" i="6"/>
  <c r="G463" i="6"/>
  <c r="H432" i="6"/>
  <c r="J432" i="6" s="1"/>
  <c r="H383" i="6"/>
  <c r="J383" i="6" s="1"/>
  <c r="H386" i="6"/>
  <c r="J386" i="6" s="1"/>
  <c r="H434" i="6"/>
  <c r="J434" i="6" s="1"/>
  <c r="H439" i="6"/>
  <c r="J439" i="6" s="1"/>
  <c r="D243" i="6"/>
  <c r="D234" i="6"/>
  <c r="D225" i="6"/>
  <c r="J312" i="6"/>
  <c r="F303" i="6"/>
  <c r="D161" i="6"/>
  <c r="D152" i="6"/>
  <c r="D143" i="6"/>
  <c r="M197" i="6"/>
  <c r="M190" i="6"/>
  <c r="M180" i="6"/>
  <c r="M207" i="6"/>
  <c r="M206" i="6"/>
  <c r="M199" i="6"/>
  <c r="M208" i="6"/>
  <c r="M205" i="6"/>
  <c r="M179" i="6"/>
  <c r="M198" i="6"/>
  <c r="M196" i="6"/>
  <c r="M187" i="6"/>
  <c r="M181" i="6"/>
  <c r="M178" i="6"/>
  <c r="M189" i="6"/>
  <c r="M188" i="6"/>
  <c r="G322" i="6"/>
  <c r="G237" i="6"/>
  <c r="G511" i="6"/>
  <c r="G585" i="6"/>
  <c r="J585" i="6" s="1"/>
  <c r="K585" i="6" s="1"/>
  <c r="E243" i="6"/>
  <c r="E234" i="6"/>
  <c r="E225" i="6"/>
  <c r="G156" i="6"/>
  <c r="O68" i="6"/>
  <c r="O70" i="6"/>
  <c r="O69" i="6"/>
  <c r="F238" i="6"/>
  <c r="H407" i="6"/>
  <c r="J407" i="6" s="1"/>
  <c r="H330" i="6"/>
  <c r="O330" i="6" s="1"/>
  <c r="H321" i="6"/>
  <c r="O321" i="6" s="1"/>
  <c r="O303" i="6"/>
  <c r="H409" i="6"/>
  <c r="J409" i="6" s="1"/>
  <c r="H378" i="6"/>
  <c r="J378" i="6" s="1"/>
  <c r="H398" i="6"/>
  <c r="J398" i="6" s="1"/>
  <c r="H421" i="6"/>
  <c r="J421" i="6" s="1"/>
  <c r="H388" i="6"/>
  <c r="J388" i="6" s="1"/>
  <c r="F573" i="6"/>
  <c r="J155" i="6"/>
  <c r="G43" i="6"/>
  <c r="I238" i="6"/>
  <c r="I197" i="6"/>
  <c r="I156" i="6"/>
  <c r="I116" i="6"/>
  <c r="M59" i="6"/>
  <c r="L59" i="6"/>
  <c r="I280" i="6"/>
  <c r="I291" i="6"/>
  <c r="I249" i="6"/>
  <c r="I127" i="6"/>
  <c r="I208" i="6"/>
  <c r="I167" i="6"/>
  <c r="M70" i="6"/>
  <c r="L70" i="6"/>
  <c r="G270" i="6"/>
  <c r="G263" i="6"/>
  <c r="G573" i="6"/>
  <c r="G594" i="6"/>
  <c r="J594" i="6" s="1"/>
  <c r="K594" i="6" s="1"/>
  <c r="G501" i="6"/>
  <c r="G69" i="6"/>
  <c r="G52" i="6"/>
  <c r="J52" i="6" s="1"/>
  <c r="G106" i="6"/>
  <c r="P467" i="6"/>
  <c r="O304" i="6"/>
  <c r="H322" i="6"/>
  <c r="O322" i="6" s="1"/>
  <c r="H331" i="6"/>
  <c r="O331" i="6" s="1"/>
  <c r="H381" i="6"/>
  <c r="J381" i="6" s="1"/>
  <c r="Q398" i="6" s="1"/>
  <c r="H412" i="6"/>
  <c r="J412" i="6" s="1"/>
  <c r="H425" i="6"/>
  <c r="J425" i="6" s="1"/>
  <c r="G59" i="6"/>
  <c r="F299" i="6"/>
  <c r="C326" i="6"/>
  <c r="C317" i="6"/>
  <c r="C308" i="6"/>
  <c r="H69" i="6"/>
  <c r="H70" i="6"/>
  <c r="H68" i="6"/>
  <c r="P411" i="6"/>
  <c r="R397" i="6"/>
  <c r="Q397" i="6"/>
  <c r="P404" i="6"/>
  <c r="R395" i="6"/>
  <c r="Q395" i="6"/>
  <c r="P409" i="6"/>
  <c r="P402" i="6"/>
  <c r="O61" i="6"/>
  <c r="O60" i="6"/>
  <c r="O59" i="6"/>
  <c r="S467" i="6"/>
  <c r="S468" i="6"/>
  <c r="S466" i="6"/>
  <c r="Y395" i="6"/>
  <c r="Z395" i="6" s="1"/>
  <c r="AB395" i="6"/>
  <c r="U395" i="6" s="1"/>
  <c r="H320" i="6"/>
  <c r="O320" i="6" s="1"/>
  <c r="H329" i="6"/>
  <c r="O329" i="6" s="1"/>
  <c r="O302" i="6"/>
  <c r="H382" i="6"/>
  <c r="J382" i="6" s="1"/>
  <c r="H384" i="6"/>
  <c r="J384" i="6" s="1"/>
  <c r="H428" i="6"/>
  <c r="J428" i="6" s="1"/>
  <c r="O466" i="6" s="1"/>
  <c r="D326" i="6"/>
  <c r="D329" i="6" s="1"/>
  <c r="D308" i="6"/>
  <c r="D317" i="6"/>
  <c r="G60" i="6"/>
  <c r="C161" i="6"/>
  <c r="F134" i="6"/>
  <c r="C152" i="6"/>
  <c r="C143" i="6"/>
  <c r="G139" i="6"/>
  <c r="G187" i="6"/>
  <c r="G124" i="6"/>
  <c r="E276" i="6"/>
  <c r="E267" i="6"/>
  <c r="E285" i="6"/>
  <c r="E288" i="6" s="1"/>
  <c r="C121" i="6"/>
  <c r="C112" i="6"/>
  <c r="C103" i="6"/>
  <c r="F94" i="6"/>
  <c r="I270" i="6"/>
  <c r="I228" i="6"/>
  <c r="I187" i="6"/>
  <c r="I146" i="6"/>
  <c r="I106" i="6"/>
  <c r="M49" i="6"/>
  <c r="L49" i="6"/>
  <c r="S454" i="6"/>
  <c r="T454" i="6" s="1"/>
  <c r="S452" i="6"/>
  <c r="S453" i="6"/>
  <c r="H332" i="6"/>
  <c r="O332" i="6" s="1"/>
  <c r="H323" i="6"/>
  <c r="O323" i="6" s="1"/>
  <c r="O305" i="6"/>
  <c r="H424" i="6"/>
  <c r="J424" i="6" s="1"/>
  <c r="H387" i="6"/>
  <c r="J387" i="6" s="1"/>
  <c r="F137" i="6"/>
  <c r="F249" i="6"/>
  <c r="G197" i="6"/>
  <c r="G198" i="6"/>
  <c r="G179" i="6"/>
  <c r="C202" i="6"/>
  <c r="C184" i="6"/>
  <c r="F184" i="6" s="1"/>
  <c r="C193" i="6"/>
  <c r="F193" i="6" s="1"/>
  <c r="F175" i="6"/>
  <c r="G303" i="6"/>
  <c r="G535" i="6"/>
  <c r="G525" i="6"/>
  <c r="E326" i="6"/>
  <c r="E329" i="6" s="1"/>
  <c r="E308" i="6"/>
  <c r="E317" i="6"/>
  <c r="G108" i="6"/>
  <c r="J108" i="6" s="1"/>
  <c r="J273" i="6" l="1"/>
  <c r="J302" i="6"/>
  <c r="J69" i="6"/>
  <c r="J591" i="6"/>
  <c r="K591" i="6" s="1"/>
  <c r="J100" i="6"/>
  <c r="J106" i="6"/>
  <c r="K106" i="6" s="1"/>
  <c r="J567" i="6"/>
  <c r="K567" i="6" s="1"/>
  <c r="J148" i="6"/>
  <c r="L148" i="6" s="1"/>
  <c r="J552" i="6"/>
  <c r="K552" i="6" s="1"/>
  <c r="L552" i="6" s="1"/>
  <c r="M552" i="6" s="1"/>
  <c r="N552" i="6" s="1"/>
  <c r="J542" i="6"/>
  <c r="K542" i="6" s="1"/>
  <c r="L542" i="6" s="1"/>
  <c r="M542" i="6" s="1"/>
  <c r="N542" i="6" s="1"/>
  <c r="J527" i="6"/>
  <c r="K527" i="6" s="1"/>
  <c r="L527" i="6" s="1"/>
  <c r="M527" i="6" s="1"/>
  <c r="N527" i="6" s="1"/>
  <c r="J228" i="6"/>
  <c r="O228" i="6" s="1"/>
  <c r="O460" i="6"/>
  <c r="Q138" i="6"/>
  <c r="K10" i="6" s="1"/>
  <c r="J534" i="6"/>
  <c r="M534" i="6" s="1"/>
  <c r="N534" i="6" s="1"/>
  <c r="J512" i="6"/>
  <c r="K512" i="6" s="1"/>
  <c r="L512" i="6" s="1"/>
  <c r="M512" i="6" s="1"/>
  <c r="N512" i="6" s="1"/>
  <c r="O467" i="6"/>
  <c r="O468" i="6"/>
  <c r="J50" i="6"/>
  <c r="N50" i="6" s="1"/>
  <c r="O461" i="6"/>
  <c r="L493" i="6"/>
  <c r="H51" i="6"/>
  <c r="F152" i="6"/>
  <c r="M553" i="6"/>
  <c r="N553" i="6" s="1"/>
  <c r="J51" i="6"/>
  <c r="K51" i="6" s="1"/>
  <c r="J164" i="6"/>
  <c r="J279" i="6"/>
  <c r="K279" i="6" s="1"/>
  <c r="L279" i="6" s="1"/>
  <c r="J261" i="6"/>
  <c r="K261" i="6" s="1"/>
  <c r="L261" i="6" s="1"/>
  <c r="J314" i="6"/>
  <c r="M314" i="6" s="1"/>
  <c r="J271" i="6"/>
  <c r="O271" i="6" s="1"/>
  <c r="J239" i="6"/>
  <c r="K239" i="6" s="1"/>
  <c r="J67" i="6"/>
  <c r="M591" i="6"/>
  <c r="J117" i="6"/>
  <c r="K117" i="6" s="1"/>
  <c r="L117" i="6" s="1"/>
  <c r="L239" i="6" s="1"/>
  <c r="J510" i="6"/>
  <c r="K510" i="6" s="1"/>
  <c r="J262" i="6"/>
  <c r="K262" i="6" s="1"/>
  <c r="L262" i="6" s="1"/>
  <c r="J272" i="6"/>
  <c r="O272" i="6" s="1"/>
  <c r="K493" i="6"/>
  <c r="J281" i="6"/>
  <c r="K281" i="6" s="1"/>
  <c r="L281" i="6" s="1"/>
  <c r="J502" i="6"/>
  <c r="K502" i="6" s="1"/>
  <c r="L502" i="6" s="1"/>
  <c r="M502" i="6" s="1"/>
  <c r="N502" i="6" s="1"/>
  <c r="J42" i="6"/>
  <c r="K42" i="6" s="1"/>
  <c r="N42" i="6" s="1"/>
  <c r="P42" i="6" s="1"/>
  <c r="J107" i="6"/>
  <c r="M107" i="6" s="1"/>
  <c r="J526" i="6"/>
  <c r="K526" i="6" s="1"/>
  <c r="L526" i="6" s="1"/>
  <c r="M526" i="6" s="1"/>
  <c r="N526" i="6" s="1"/>
  <c r="J229" i="6"/>
  <c r="O229" i="6" s="1"/>
  <c r="J124" i="6"/>
  <c r="J566" i="6"/>
  <c r="K566" i="6" s="1"/>
  <c r="J127" i="6"/>
  <c r="K127" i="6" s="1"/>
  <c r="J109" i="6"/>
  <c r="M109" i="6" s="1"/>
  <c r="J280" i="6"/>
  <c r="K280" i="6" s="1"/>
  <c r="L280" i="6" s="1"/>
  <c r="J137" i="6"/>
  <c r="J503" i="6"/>
  <c r="K503" i="6" s="1"/>
  <c r="L503" i="6" s="1"/>
  <c r="M503" i="6" s="1"/>
  <c r="N503" i="6" s="1"/>
  <c r="J149" i="6"/>
  <c r="K149" i="6" s="1"/>
  <c r="J61" i="6"/>
  <c r="K61" i="6" s="1"/>
  <c r="N61" i="6" s="1"/>
  <c r="P61" i="6" s="1"/>
  <c r="AF395" i="6"/>
  <c r="AG395" i="6" s="1"/>
  <c r="J263" i="6"/>
  <c r="K263" i="6" s="1"/>
  <c r="L263" i="6" s="1"/>
  <c r="AH85" i="6"/>
  <c r="AJ85" i="6" s="1"/>
  <c r="AJ40" i="6"/>
  <c r="AH62" i="6"/>
  <c r="AJ62" i="6" s="1"/>
  <c r="AH68" i="6"/>
  <c r="AJ68" i="6" s="1"/>
  <c r="AH57" i="6"/>
  <c r="AJ57" i="6" s="1"/>
  <c r="AH61" i="6"/>
  <c r="AJ61" i="6" s="1"/>
  <c r="AH77" i="6"/>
  <c r="AJ77" i="6" s="1"/>
  <c r="AH70" i="6"/>
  <c r="AJ70" i="6" s="1"/>
  <c r="AH60" i="6"/>
  <c r="AJ60" i="6" s="1"/>
  <c r="AH50" i="6"/>
  <c r="AJ50" i="6" s="1"/>
  <c r="AH52" i="6"/>
  <c r="AJ52" i="6" s="1"/>
  <c r="AH83" i="6"/>
  <c r="AJ83" i="6" s="1"/>
  <c r="AH74" i="6"/>
  <c r="AJ74" i="6" s="1"/>
  <c r="AH79" i="6"/>
  <c r="AJ79" i="6" s="1"/>
  <c r="AH41" i="6"/>
  <c r="AJ41" i="6" s="1"/>
  <c r="AH65" i="6"/>
  <c r="AJ65" i="6" s="1"/>
  <c r="AH46" i="6"/>
  <c r="AJ46" i="6" s="1"/>
  <c r="AH80" i="6"/>
  <c r="AJ80" i="6" s="1"/>
  <c r="AH44" i="6"/>
  <c r="AJ44" i="6" s="1"/>
  <c r="AH54" i="6"/>
  <c r="AJ54" i="6" s="1"/>
  <c r="AH86" i="6"/>
  <c r="AJ86" i="6" s="1"/>
  <c r="AH84" i="6"/>
  <c r="AJ84" i="6" s="1"/>
  <c r="AH67" i="6"/>
  <c r="AJ67" i="6" s="1"/>
  <c r="AH51" i="6"/>
  <c r="AJ51" i="6" s="1"/>
  <c r="AH42" i="6"/>
  <c r="AJ42" i="6" s="1"/>
  <c r="AH76" i="6"/>
  <c r="AJ76" i="6" s="1"/>
  <c r="AH72" i="6"/>
  <c r="AJ72" i="6" s="1"/>
  <c r="AH64" i="6"/>
  <c r="AJ64" i="6" s="1"/>
  <c r="AH43" i="6"/>
  <c r="AJ43" i="6" s="1"/>
  <c r="AH69" i="6"/>
  <c r="AJ69" i="6" s="1"/>
  <c r="AH59" i="6"/>
  <c r="AJ59" i="6" s="1"/>
  <c r="AH45" i="6"/>
  <c r="AJ45" i="6" s="1"/>
  <c r="AH78" i="6"/>
  <c r="AJ78" i="6" s="1"/>
  <c r="AH49" i="6"/>
  <c r="AJ49" i="6" s="1"/>
  <c r="AH66" i="6"/>
  <c r="AJ66" i="6" s="1"/>
  <c r="AH53" i="6"/>
  <c r="AJ53" i="6" s="1"/>
  <c r="AH81" i="6"/>
  <c r="AJ81" i="6" s="1"/>
  <c r="AH47" i="6"/>
  <c r="AJ47" i="6" s="1"/>
  <c r="AH56" i="6"/>
  <c r="AJ56" i="6" s="1"/>
  <c r="AH58" i="6"/>
  <c r="AJ58" i="6" s="1"/>
  <c r="AH63" i="6"/>
  <c r="AJ63" i="6" s="1"/>
  <c r="AH71" i="6"/>
  <c r="AJ71" i="6" s="1"/>
  <c r="AH82" i="6"/>
  <c r="AJ82" i="6" s="1"/>
  <c r="AH48" i="6"/>
  <c r="AJ48" i="6" s="1"/>
  <c r="AH73" i="6"/>
  <c r="AJ73" i="6" s="1"/>
  <c r="AH55" i="6"/>
  <c r="AJ55" i="6" s="1"/>
  <c r="AH75" i="6"/>
  <c r="AJ75" i="6" s="1"/>
  <c r="L534" i="6"/>
  <c r="O564" i="6"/>
  <c r="O591" i="6" s="1"/>
  <c r="J501" i="6"/>
  <c r="K501" i="6" s="1"/>
  <c r="L501" i="6" s="1"/>
  <c r="M501" i="6" s="1"/>
  <c r="N501" i="6" s="1"/>
  <c r="J167" i="6"/>
  <c r="L167" i="6" s="1"/>
  <c r="T453" i="6"/>
  <c r="F112" i="6"/>
  <c r="H50" i="6"/>
  <c r="J551" i="6"/>
  <c r="J536" i="6"/>
  <c r="M536" i="6" s="1"/>
  <c r="N536" i="6" s="1"/>
  <c r="J264" i="6"/>
  <c r="K264" i="6" s="1"/>
  <c r="L264" i="6" s="1"/>
  <c r="J491" i="6"/>
  <c r="K491" i="6" s="1"/>
  <c r="U412" i="6"/>
  <c r="U411" i="6"/>
  <c r="U410" i="6"/>
  <c r="F243" i="6"/>
  <c r="J544" i="6"/>
  <c r="K544" i="6" s="1"/>
  <c r="L544" i="6" s="1"/>
  <c r="M544" i="6" s="1"/>
  <c r="N544" i="6" s="1"/>
  <c r="K40" i="6"/>
  <c r="N40" i="6" s="1"/>
  <c r="P40" i="6" s="1"/>
  <c r="M564" i="6"/>
  <c r="J147" i="6"/>
  <c r="K147" i="6" s="1"/>
  <c r="Q137" i="6"/>
  <c r="J10" i="6" s="1"/>
  <c r="AE54" i="6"/>
  <c r="AG54" i="6" s="1"/>
  <c r="AE68" i="6"/>
  <c r="AG68" i="6" s="1"/>
  <c r="AE43" i="6"/>
  <c r="AG43" i="6" s="1"/>
  <c r="AE78" i="6"/>
  <c r="AG78" i="6" s="1"/>
  <c r="AE79" i="6"/>
  <c r="AG79" i="6" s="1"/>
  <c r="AD79" i="6" s="1"/>
  <c r="AE72" i="6"/>
  <c r="AG72" i="6" s="1"/>
  <c r="AD72" i="6" s="1"/>
  <c r="AE49" i="6"/>
  <c r="AG49" i="6" s="1"/>
  <c r="AD49" i="6" s="1"/>
  <c r="AE66" i="6"/>
  <c r="AG66" i="6" s="1"/>
  <c r="AD66" i="6" s="1"/>
  <c r="AE51" i="6"/>
  <c r="AG51" i="6" s="1"/>
  <c r="AG40" i="6"/>
  <c r="AD40" i="6" s="1"/>
  <c r="AE76" i="6"/>
  <c r="AG76" i="6" s="1"/>
  <c r="AD76" i="6" s="1"/>
  <c r="AE52" i="6"/>
  <c r="AG52" i="6" s="1"/>
  <c r="AE67" i="6"/>
  <c r="AG67" i="6" s="1"/>
  <c r="AD67" i="6" s="1"/>
  <c r="AE55" i="6"/>
  <c r="AG55" i="6" s="1"/>
  <c r="AD55" i="6" s="1"/>
  <c r="AE61" i="6"/>
  <c r="AG61" i="6" s="1"/>
  <c r="AD61" i="6" s="1"/>
  <c r="AE45" i="6"/>
  <c r="AG45" i="6" s="1"/>
  <c r="AD45" i="6" s="1"/>
  <c r="AE83" i="6"/>
  <c r="AG83" i="6" s="1"/>
  <c r="AD83" i="6" s="1"/>
  <c r="AE42" i="6"/>
  <c r="AG42" i="6" s="1"/>
  <c r="AE48" i="6"/>
  <c r="AG48" i="6" s="1"/>
  <c r="AE65" i="6"/>
  <c r="AG65" i="6" s="1"/>
  <c r="AD65" i="6" s="1"/>
  <c r="AE64" i="6"/>
  <c r="AG64" i="6" s="1"/>
  <c r="AE58" i="6"/>
  <c r="AG58" i="6" s="1"/>
  <c r="AE53" i="6"/>
  <c r="AG53" i="6" s="1"/>
  <c r="AE80" i="6"/>
  <c r="AG80" i="6" s="1"/>
  <c r="AD80" i="6" s="1"/>
  <c r="AE73" i="6"/>
  <c r="AG73" i="6" s="1"/>
  <c r="AD73" i="6" s="1"/>
  <c r="AE69" i="6"/>
  <c r="AG69" i="6" s="1"/>
  <c r="AD69" i="6" s="1"/>
  <c r="AE59" i="6"/>
  <c r="AG59" i="6" s="1"/>
  <c r="AD59" i="6" s="1"/>
  <c r="AE46" i="6"/>
  <c r="AG46" i="6" s="1"/>
  <c r="AE56" i="6"/>
  <c r="AG56" i="6" s="1"/>
  <c r="AD56" i="6" s="1"/>
  <c r="AE44" i="6"/>
  <c r="AG44" i="6" s="1"/>
  <c r="AD44" i="6" s="1"/>
  <c r="AE50" i="6"/>
  <c r="AG50" i="6" s="1"/>
  <c r="AD50" i="6" s="1"/>
  <c r="AE81" i="6"/>
  <c r="AG81" i="6" s="1"/>
  <c r="AE85" i="6"/>
  <c r="AG85" i="6" s="1"/>
  <c r="AD85" i="6" s="1"/>
  <c r="AE60" i="6"/>
  <c r="AG60" i="6" s="1"/>
  <c r="AE62" i="6"/>
  <c r="AG62" i="6" s="1"/>
  <c r="AD62" i="6" s="1"/>
  <c r="AE82" i="6"/>
  <c r="AG82" i="6" s="1"/>
  <c r="AD82" i="6" s="1"/>
  <c r="AE86" i="6"/>
  <c r="AG86" i="6" s="1"/>
  <c r="AE57" i="6"/>
  <c r="AG57" i="6" s="1"/>
  <c r="AE41" i="6"/>
  <c r="AG41" i="6" s="1"/>
  <c r="AD41" i="6" s="1"/>
  <c r="AE63" i="6"/>
  <c r="AG63" i="6" s="1"/>
  <c r="AE75" i="6"/>
  <c r="AG75" i="6" s="1"/>
  <c r="AD75" i="6" s="1"/>
  <c r="AE47" i="6"/>
  <c r="AG47" i="6" s="1"/>
  <c r="AD47" i="6" s="1"/>
  <c r="AE77" i="6"/>
  <c r="AG77" i="6" s="1"/>
  <c r="AD77" i="6" s="1"/>
  <c r="AE71" i="6"/>
  <c r="AG71" i="6" s="1"/>
  <c r="AD71" i="6" s="1"/>
  <c r="AE74" i="6"/>
  <c r="AG74" i="6" s="1"/>
  <c r="AD74" i="6" s="1"/>
  <c r="AE70" i="6"/>
  <c r="AG70" i="6" s="1"/>
  <c r="AE84" i="6"/>
  <c r="AG84" i="6" s="1"/>
  <c r="AD84" i="6" s="1"/>
  <c r="L118" i="6"/>
  <c r="L240" i="6" s="1"/>
  <c r="T240" i="6" s="1"/>
  <c r="N240" i="6" s="1"/>
  <c r="H61" i="6"/>
  <c r="H60" i="6"/>
  <c r="N41" i="6"/>
  <c r="P41" i="6" s="1"/>
  <c r="J58" i="6"/>
  <c r="K58" i="6" s="1"/>
  <c r="N58" i="6" s="1"/>
  <c r="P58" i="6" s="1"/>
  <c r="J158" i="6"/>
  <c r="K158" i="6" s="1"/>
  <c r="L158" i="6" s="1"/>
  <c r="J156" i="6"/>
  <c r="K156" i="6" s="1"/>
  <c r="L156" i="6" s="1"/>
  <c r="J511" i="6"/>
  <c r="L511" i="6" s="1"/>
  <c r="M511" i="6" s="1"/>
  <c r="N511" i="6" s="1"/>
  <c r="F103" i="6"/>
  <c r="J221" i="6"/>
  <c r="K221" i="6" s="1"/>
  <c r="F161" i="6"/>
  <c r="K554" i="6"/>
  <c r="L554" i="6" s="1"/>
  <c r="M554" i="6" s="1"/>
  <c r="N554" i="6" s="1"/>
  <c r="J574" i="6"/>
  <c r="K574" i="6" s="1"/>
  <c r="J545" i="6"/>
  <c r="K545" i="6" s="1"/>
  <c r="L545" i="6" s="1"/>
  <c r="M545" i="6" s="1"/>
  <c r="N545" i="6" s="1"/>
  <c r="J157" i="6"/>
  <c r="K157" i="6" s="1"/>
  <c r="L157" i="6" s="1"/>
  <c r="J166" i="6"/>
  <c r="J125" i="6"/>
  <c r="J43" i="6"/>
  <c r="K43" i="6" s="1"/>
  <c r="J482" i="6"/>
  <c r="K482" i="6" s="1"/>
  <c r="L482" i="6" s="1"/>
  <c r="M482" i="6" s="1"/>
  <c r="N482" i="6" s="1"/>
  <c r="N49" i="6"/>
  <c r="J199" i="6"/>
  <c r="K199" i="6" s="1"/>
  <c r="L199" i="6" s="1"/>
  <c r="O199" i="6" s="1"/>
  <c r="P199" i="6" s="1"/>
  <c r="Q199" i="6" s="1"/>
  <c r="J535" i="6"/>
  <c r="M535" i="6" s="1"/>
  <c r="N535" i="6" s="1"/>
  <c r="L483" i="6"/>
  <c r="M483" i="6" s="1"/>
  <c r="N483" i="6" s="1"/>
  <c r="M582" i="6"/>
  <c r="J59" i="6"/>
  <c r="K59" i="6" s="1"/>
  <c r="N59" i="6" s="1"/>
  <c r="P59" i="6" s="1"/>
  <c r="J322" i="6"/>
  <c r="K322" i="6" s="1"/>
  <c r="L322" i="6" s="1"/>
  <c r="J320" i="6"/>
  <c r="K320" i="6" s="1"/>
  <c r="L320" i="6" s="1"/>
  <c r="L509" i="6"/>
  <c r="M509" i="6" s="1"/>
  <c r="N509" i="6" s="1"/>
  <c r="J222" i="6"/>
  <c r="K222" i="6" s="1"/>
  <c r="K509" i="6"/>
  <c r="K49" i="6"/>
  <c r="J196" i="6"/>
  <c r="K196" i="6" s="1"/>
  <c r="L196" i="6" s="1"/>
  <c r="O196" i="6" s="1"/>
  <c r="P196" i="6" s="1"/>
  <c r="Q196" i="6" s="1"/>
  <c r="J68" i="6"/>
  <c r="J584" i="6"/>
  <c r="K584" i="6" s="1"/>
  <c r="J220" i="6"/>
  <c r="K220" i="6" s="1"/>
  <c r="F143" i="6"/>
  <c r="L115" i="6"/>
  <c r="L237" i="6" s="1"/>
  <c r="J97" i="6"/>
  <c r="J138" i="6"/>
  <c r="J99" i="6"/>
  <c r="J525" i="6"/>
  <c r="K525" i="6" s="1"/>
  <c r="L525" i="6" s="1"/>
  <c r="M525" i="6" s="1"/>
  <c r="N525" i="6" s="1"/>
  <c r="J492" i="6"/>
  <c r="L492" i="6" s="1"/>
  <c r="J533" i="6"/>
  <c r="Q302" i="6"/>
  <c r="Q311" i="6" s="1" a="1"/>
  <c r="Q311" i="6" s="1"/>
  <c r="I14" i="6" s="1"/>
  <c r="Q305" i="6"/>
  <c r="Q314" i="6" s="1" a="1"/>
  <c r="Q314" i="6" s="1"/>
  <c r="L14" i="6" s="1"/>
  <c r="J494" i="6"/>
  <c r="K494" i="6" s="1"/>
  <c r="Q304" i="6"/>
  <c r="Q313" i="6" s="1" a="1"/>
  <c r="Q313" i="6" s="1"/>
  <c r="K14" i="6" s="1"/>
  <c r="P52" i="6"/>
  <c r="K52" i="6"/>
  <c r="N52" i="6"/>
  <c r="K69" i="6"/>
  <c r="N69" i="6"/>
  <c r="P69" i="6" s="1"/>
  <c r="L106" i="6"/>
  <c r="L228" i="6" s="1"/>
  <c r="M108" i="6"/>
  <c r="L108" i="6"/>
  <c r="L230" i="6" s="1"/>
  <c r="K108" i="6"/>
  <c r="K485" i="6"/>
  <c r="L485" i="6" s="1"/>
  <c r="M485" i="6" s="1"/>
  <c r="N485" i="6" s="1"/>
  <c r="L220" i="6"/>
  <c r="M98" i="6"/>
  <c r="C329" i="6"/>
  <c r="F326" i="6"/>
  <c r="O573" i="6"/>
  <c r="J573" i="6"/>
  <c r="J198" i="6"/>
  <c r="K167" i="6"/>
  <c r="E331" i="6"/>
  <c r="E330" i="6"/>
  <c r="E332" i="6" s="1"/>
  <c r="T452" i="6"/>
  <c r="F121" i="6"/>
  <c r="K312" i="6"/>
  <c r="N312" i="6"/>
  <c r="M312" i="6"/>
  <c r="L312" i="6"/>
  <c r="R405" i="6"/>
  <c r="Q405" i="6"/>
  <c r="M228" i="6"/>
  <c r="L591" i="6"/>
  <c r="L582" i="6"/>
  <c r="L573" i="6"/>
  <c r="N573" i="6" s="1"/>
  <c r="L564" i="6"/>
  <c r="R404" i="6"/>
  <c r="Q404" i="6"/>
  <c r="M231" i="6"/>
  <c r="N231" i="6"/>
  <c r="K231" i="6"/>
  <c r="K321" i="6"/>
  <c r="L321" i="6" s="1"/>
  <c r="J197" i="6"/>
  <c r="L190" i="6"/>
  <c r="O190" i="6" s="1"/>
  <c r="P190" i="6" s="1"/>
  <c r="Q190" i="6" s="1"/>
  <c r="K190" i="6"/>
  <c r="J179" i="6"/>
  <c r="J60" i="6"/>
  <c r="D208" i="6"/>
  <c r="K116" i="6"/>
  <c r="L116" i="6" s="1"/>
  <c r="K246" i="6"/>
  <c r="K189" i="6"/>
  <c r="L189" i="6"/>
  <c r="O189" i="6" s="1"/>
  <c r="P189" i="6" s="1"/>
  <c r="Q189" i="6" s="1"/>
  <c r="R412" i="6"/>
  <c r="Q412" i="6"/>
  <c r="N273" i="6"/>
  <c r="M273" i="6"/>
  <c r="L273" i="6"/>
  <c r="K273" i="6"/>
  <c r="O273" i="6"/>
  <c r="K323" i="6"/>
  <c r="L323" i="6" s="1"/>
  <c r="H536" i="6"/>
  <c r="H535" i="6"/>
  <c r="H534" i="6"/>
  <c r="H533" i="6"/>
  <c r="H541" i="6"/>
  <c r="H554" i="6"/>
  <c r="H553" i="6"/>
  <c r="H552" i="6"/>
  <c r="H551" i="6"/>
  <c r="H545" i="6"/>
  <c r="H544" i="6"/>
  <c r="H543" i="6"/>
  <c r="H542" i="6"/>
  <c r="H526" i="6"/>
  <c r="H524" i="6"/>
  <c r="H525" i="6"/>
  <c r="H527" i="6"/>
  <c r="H550" i="6"/>
  <c r="H532" i="6"/>
  <c r="J282" i="6"/>
  <c r="F276" i="6"/>
  <c r="J249" i="6"/>
  <c r="K219" i="6"/>
  <c r="Q411" i="6"/>
  <c r="R411" i="6"/>
  <c r="E290" i="6"/>
  <c r="E289" i="6"/>
  <c r="E291" i="6" s="1"/>
  <c r="M313" i="6"/>
  <c r="L313" i="6"/>
  <c r="N313" i="6"/>
  <c r="K313" i="6"/>
  <c r="J238" i="6"/>
  <c r="M271" i="6"/>
  <c r="N229" i="6"/>
  <c r="K240" i="6"/>
  <c r="U396" i="6"/>
  <c r="U397" i="6"/>
  <c r="U398" i="6"/>
  <c r="L305" i="6"/>
  <c r="K305" i="6"/>
  <c r="K70" i="6"/>
  <c r="N70" i="6"/>
  <c r="P70" i="6" s="1"/>
  <c r="J304" i="6"/>
  <c r="J270" i="6"/>
  <c r="C288" i="6"/>
  <c r="F285" i="6"/>
  <c r="K181" i="6"/>
  <c r="L181" i="6" s="1"/>
  <c r="O181" i="6" s="1"/>
  <c r="P181" i="6" s="1"/>
  <c r="Q181" i="6" s="1"/>
  <c r="D330" i="6"/>
  <c r="F329" i="6"/>
  <c r="D331" i="6"/>
  <c r="K165" i="6"/>
  <c r="L165" i="6" s="1"/>
  <c r="J187" i="6"/>
  <c r="K137" i="6"/>
  <c r="L137" i="6" s="1"/>
  <c r="M230" i="6"/>
  <c r="K230" i="6"/>
  <c r="N230" i="6"/>
  <c r="K155" i="6"/>
  <c r="L155" i="6" s="1"/>
  <c r="K50" i="6"/>
  <c r="P50" i="6"/>
  <c r="J180" i="6"/>
  <c r="J524" i="6"/>
  <c r="F267" i="6"/>
  <c r="J564" i="6"/>
  <c r="K100" i="6"/>
  <c r="L100" i="6" s="1"/>
  <c r="Q402" i="6"/>
  <c r="R402" i="6"/>
  <c r="K247" i="6"/>
  <c r="J237" i="6"/>
  <c r="Q403" i="6"/>
  <c r="R403" i="6"/>
  <c r="J303" i="6"/>
  <c r="U404" i="6"/>
  <c r="U403" i="6"/>
  <c r="U405" i="6"/>
  <c r="R409" i="6"/>
  <c r="Q409" i="6"/>
  <c r="K126" i="6"/>
  <c r="L126" i="6" s="1"/>
  <c r="L248" i="6" s="1"/>
  <c r="L146" i="6"/>
  <c r="K146" i="6"/>
  <c r="F234" i="6"/>
  <c r="K248" i="6"/>
  <c r="D289" i="6"/>
  <c r="D290" i="6"/>
  <c r="F288" i="6"/>
  <c r="C205" i="6"/>
  <c r="F202" i="6"/>
  <c r="Q303" i="6"/>
  <c r="Q312" i="6" s="1" a="1"/>
  <c r="Q312" i="6" s="1"/>
  <c r="J14" i="6" s="1"/>
  <c r="Q410" i="6"/>
  <c r="R410" i="6"/>
  <c r="J139" i="6"/>
  <c r="L188" i="6"/>
  <c r="O188" i="6" s="1"/>
  <c r="P188" i="6" s="1"/>
  <c r="Q188" i="6" s="1"/>
  <c r="K188" i="6"/>
  <c r="F308" i="6"/>
  <c r="F317" i="6"/>
  <c r="K302" i="6"/>
  <c r="L302" i="6" s="1"/>
  <c r="K178" i="6"/>
  <c r="L178" i="6" s="1"/>
  <c r="F225" i="6"/>
  <c r="K311" i="6"/>
  <c r="N311" i="6"/>
  <c r="M311" i="6"/>
  <c r="L311" i="6"/>
  <c r="E207" i="6"/>
  <c r="F207" i="6" s="1"/>
  <c r="E206" i="6"/>
  <c r="E208" i="6" s="1"/>
  <c r="L271" i="6" l="1"/>
  <c r="N271" i="6"/>
  <c r="M106" i="6"/>
  <c r="K107" i="6"/>
  <c r="K511" i="6"/>
  <c r="M272" i="6"/>
  <c r="K148" i="6"/>
  <c r="K272" i="6"/>
  <c r="N228" i="6"/>
  <c r="K109" i="6"/>
  <c r="K228" i="6"/>
  <c r="L109" i="6"/>
  <c r="L231" i="6" s="1"/>
  <c r="T231" i="6" s="1"/>
  <c r="AD63" i="6"/>
  <c r="L535" i="6"/>
  <c r="AD43" i="6"/>
  <c r="AD46" i="6"/>
  <c r="AD78" i="6"/>
  <c r="L536" i="6"/>
  <c r="AD70" i="6"/>
  <c r="AD57" i="6"/>
  <c r="AD60" i="6"/>
  <c r="AD58" i="6"/>
  <c r="AD42" i="6"/>
  <c r="AD68" i="6"/>
  <c r="K534" i="6"/>
  <c r="U525" i="6"/>
  <c r="J18" i="6" s="1"/>
  <c r="L272" i="6"/>
  <c r="T272" i="6" s="1"/>
  <c r="N51" i="6"/>
  <c r="L107" i="6"/>
  <c r="L229" i="6" s="1"/>
  <c r="S229" i="6" s="1"/>
  <c r="K314" i="6"/>
  <c r="P51" i="6"/>
  <c r="K551" i="6"/>
  <c r="L551" i="6" s="1"/>
  <c r="M551" i="6" s="1"/>
  <c r="N551" i="6" s="1"/>
  <c r="L314" i="6"/>
  <c r="T314" i="6" s="1"/>
  <c r="L127" i="6"/>
  <c r="L249" i="6" s="1"/>
  <c r="T249" i="6" s="1"/>
  <c r="N249" i="6" s="1"/>
  <c r="L510" i="6"/>
  <c r="M510" i="6" s="1"/>
  <c r="N510" i="6" s="1"/>
  <c r="L149" i="6"/>
  <c r="N314" i="6"/>
  <c r="F290" i="6"/>
  <c r="M491" i="6"/>
  <c r="N491" i="6" s="1"/>
  <c r="N67" i="6"/>
  <c r="P67" i="6" s="1"/>
  <c r="Q40" i="6" s="1"/>
  <c r="I8" i="6" s="1"/>
  <c r="K164" i="6"/>
  <c r="L164" i="6"/>
  <c r="K271" i="6"/>
  <c r="K124" i="6"/>
  <c r="L124" i="6" s="1"/>
  <c r="L246" i="6" s="1"/>
  <c r="T246" i="6" s="1"/>
  <c r="N246" i="6" s="1"/>
  <c r="N591" i="6"/>
  <c r="P591" i="6" s="1"/>
  <c r="O582" i="6"/>
  <c r="K229" i="6"/>
  <c r="K67" i="6"/>
  <c r="N272" i="6"/>
  <c r="M229" i="6"/>
  <c r="N564" i="6"/>
  <c r="K535" i="6"/>
  <c r="K536" i="6"/>
  <c r="L491" i="6"/>
  <c r="K125" i="6"/>
  <c r="L125" i="6" s="1"/>
  <c r="L247" i="6" s="1"/>
  <c r="S247" i="6" s="1"/>
  <c r="L147" i="6"/>
  <c r="N43" i="6"/>
  <c r="P43" i="6" s="1"/>
  <c r="Q43" i="6" s="1"/>
  <c r="L8" i="6" s="1"/>
  <c r="AD64" i="6"/>
  <c r="AD51" i="6"/>
  <c r="M126" i="6" s="1"/>
  <c r="AD54" i="6"/>
  <c r="AD52" i="6"/>
  <c r="AD53" i="6"/>
  <c r="AD48" i="6"/>
  <c r="AD81" i="6"/>
  <c r="AD86" i="6"/>
  <c r="U527" i="6"/>
  <c r="L18" i="6" s="1"/>
  <c r="M118" i="6"/>
  <c r="S240" i="6"/>
  <c r="K166" i="6"/>
  <c r="L166" i="6" s="1"/>
  <c r="N582" i="6"/>
  <c r="P582" i="6" s="1"/>
  <c r="L494" i="6"/>
  <c r="K68" i="6"/>
  <c r="N68" i="6" s="1"/>
  <c r="P68" i="6" s="1"/>
  <c r="Q41" i="6" s="1"/>
  <c r="J8" i="6" s="1"/>
  <c r="T237" i="6"/>
  <c r="S237" i="6"/>
  <c r="K99" i="6"/>
  <c r="L99" i="6" s="1"/>
  <c r="K138" i="6"/>
  <c r="L138" i="6" s="1"/>
  <c r="M494" i="6"/>
  <c r="N494" i="6" s="1"/>
  <c r="M115" i="6"/>
  <c r="K97" i="6"/>
  <c r="L97" i="6" s="1"/>
  <c r="L219" i="6" s="1"/>
  <c r="M492" i="6"/>
  <c r="N492" i="6" s="1"/>
  <c r="K492" i="6"/>
  <c r="M533" i="6"/>
  <c r="N533" i="6" s="1"/>
  <c r="K533" i="6"/>
  <c r="L533" i="6"/>
  <c r="M117" i="6"/>
  <c r="U526" i="6"/>
  <c r="K18" i="6" s="1"/>
  <c r="S321" i="6"/>
  <c r="M321" i="6" s="1"/>
  <c r="T321" i="6"/>
  <c r="N321" i="6" s="1"/>
  <c r="L238" i="6"/>
  <c r="M116" i="6"/>
  <c r="S263" i="6"/>
  <c r="T263" i="6"/>
  <c r="N263" i="6" s="1"/>
  <c r="O178" i="6"/>
  <c r="P178" i="6" s="1"/>
  <c r="Q178" i="6" s="1"/>
  <c r="AA185" i="6"/>
  <c r="S320" i="6"/>
  <c r="M320" i="6" s="1"/>
  <c r="T320" i="6"/>
  <c r="N320" i="6" s="1"/>
  <c r="L222" i="6"/>
  <c r="M100" i="6"/>
  <c r="T280" i="6"/>
  <c r="N280" i="6" s="1"/>
  <c r="S280" i="6"/>
  <c r="T262" i="6"/>
  <c r="N262" i="6" s="1"/>
  <c r="S262" i="6"/>
  <c r="T323" i="6"/>
  <c r="N323" i="6" s="1"/>
  <c r="S323" i="6"/>
  <c r="M323" i="6" s="1"/>
  <c r="T322" i="6"/>
  <c r="N322" i="6" s="1"/>
  <c r="S322" i="6"/>
  <c r="M322" i="6" s="1"/>
  <c r="S271" i="6"/>
  <c r="T271" i="6"/>
  <c r="K197" i="6"/>
  <c r="L197" i="6" s="1"/>
  <c r="O197" i="6" s="1"/>
  <c r="P197" i="6" s="1"/>
  <c r="Q197" i="6" s="1"/>
  <c r="S312" i="6"/>
  <c r="T312" i="6"/>
  <c r="G329" i="6"/>
  <c r="J329" i="6" s="1"/>
  <c r="C330" i="6"/>
  <c r="C331" i="6"/>
  <c r="G331" i="6" s="1"/>
  <c r="F330" i="6"/>
  <c r="D332" i="6"/>
  <c r="F332" i="6" s="1"/>
  <c r="K304" i="6"/>
  <c r="L304" i="6" s="1"/>
  <c r="K249" i="6"/>
  <c r="S230" i="6"/>
  <c r="T230" i="6"/>
  <c r="T248" i="6"/>
  <c r="N248" i="6" s="1"/>
  <c r="S248" i="6"/>
  <c r="K180" i="6"/>
  <c r="L180" i="6" s="1"/>
  <c r="O180" i="6" s="1"/>
  <c r="P180" i="6" s="1"/>
  <c r="Q180" i="6" s="1"/>
  <c r="T261" i="6"/>
  <c r="N261" i="6" s="1"/>
  <c r="S261" i="6"/>
  <c r="F206" i="6"/>
  <c r="K198" i="6"/>
  <c r="L198" i="6" s="1"/>
  <c r="O198" i="6" s="1"/>
  <c r="P198" i="6" s="1"/>
  <c r="Q198" i="6" s="1"/>
  <c r="K524" i="6"/>
  <c r="L524" i="6" s="1"/>
  <c r="M524" i="6" s="1"/>
  <c r="N524" i="6" s="1"/>
  <c r="N237" i="6"/>
  <c r="K237" i="6"/>
  <c r="T239" i="6"/>
  <c r="N239" i="6" s="1"/>
  <c r="S239" i="6"/>
  <c r="K282" i="6"/>
  <c r="L282" i="6" s="1"/>
  <c r="F208" i="6"/>
  <c r="S302" i="6"/>
  <c r="M302" i="6" s="1"/>
  <c r="T302" i="6"/>
  <c r="N302" i="6" s="1"/>
  <c r="T311" i="6"/>
  <c r="S311" i="6"/>
  <c r="C207" i="6"/>
  <c r="G207" i="6" s="1"/>
  <c r="J207" i="6" s="1"/>
  <c r="G205" i="6"/>
  <c r="C206" i="6"/>
  <c r="T273" i="6"/>
  <c r="S273" i="6"/>
  <c r="K139" i="6"/>
  <c r="L139" i="6" s="1"/>
  <c r="S228" i="6"/>
  <c r="T228" i="6"/>
  <c r="C289" i="6"/>
  <c r="C290" i="6"/>
  <c r="G290" i="6" s="1"/>
  <c r="G288" i="6"/>
  <c r="S279" i="6"/>
  <c r="T279" i="6"/>
  <c r="N279" i="6" s="1"/>
  <c r="T281" i="6"/>
  <c r="N281" i="6" s="1"/>
  <c r="S281" i="6"/>
  <c r="L270" i="6"/>
  <c r="K270" i="6"/>
  <c r="M270" i="6"/>
  <c r="N270" i="6"/>
  <c r="O270" i="6"/>
  <c r="T305" i="6"/>
  <c r="N305" i="6" s="1"/>
  <c r="S305" i="6"/>
  <c r="M305" i="6" s="1"/>
  <c r="K303" i="6"/>
  <c r="L303" i="6" s="1"/>
  <c r="D291" i="6"/>
  <c r="F291" i="6" s="1"/>
  <c r="F289" i="6"/>
  <c r="P564" i="6"/>
  <c r="K564" i="6"/>
  <c r="K187" i="6"/>
  <c r="L187" i="6"/>
  <c r="O187" i="6" s="1"/>
  <c r="P187" i="6" s="1"/>
  <c r="Q187" i="6" s="1"/>
  <c r="K238" i="6"/>
  <c r="K60" i="6"/>
  <c r="N60" i="6" s="1"/>
  <c r="P60" i="6" s="1"/>
  <c r="K179" i="6"/>
  <c r="L179" i="6" s="1"/>
  <c r="O179" i="6" s="1"/>
  <c r="P179" i="6" s="1"/>
  <c r="Q179" i="6" s="1"/>
  <c r="K573" i="6"/>
  <c r="P573" i="6"/>
  <c r="T220" i="6"/>
  <c r="N220" i="6" s="1"/>
  <c r="S220" i="6"/>
  <c r="T264" i="6"/>
  <c r="N264" i="6" s="1"/>
  <c r="S264" i="6"/>
  <c r="F331" i="6"/>
  <c r="S313" i="6"/>
  <c r="T313" i="6"/>
  <c r="J290" i="6" l="1"/>
  <c r="S231" i="6"/>
  <c r="T229" i="6"/>
  <c r="S272" i="6"/>
  <c r="S246" i="6"/>
  <c r="M246" i="6" s="1"/>
  <c r="O247" i="6"/>
  <c r="M247" i="6"/>
  <c r="S314" i="6"/>
  <c r="O246" i="6"/>
  <c r="M248" i="6"/>
  <c r="O248" i="6"/>
  <c r="S249" i="6"/>
  <c r="M125" i="6"/>
  <c r="Q98" i="6" s="1"/>
  <c r="J9" i="6" s="1"/>
  <c r="T247" i="6"/>
  <c r="N247" i="6" s="1"/>
  <c r="M124" i="6"/>
  <c r="M127" i="6"/>
  <c r="Q100" i="6" s="1"/>
  <c r="L9" i="6" s="1"/>
  <c r="Q42" i="6"/>
  <c r="K8" i="6" s="1"/>
  <c r="M240" i="6"/>
  <c r="O240" i="6"/>
  <c r="M239" i="6"/>
  <c r="O239" i="6"/>
  <c r="M220" i="6"/>
  <c r="O220" i="6"/>
  <c r="M237" i="6"/>
  <c r="O237" i="6"/>
  <c r="L221" i="6"/>
  <c r="S221" i="6" s="1"/>
  <c r="M99" i="6"/>
  <c r="Q99" i="6" s="1"/>
  <c r="K9" i="6" s="1"/>
  <c r="U524" i="6"/>
  <c r="I18" i="6" s="1"/>
  <c r="M97" i="6"/>
  <c r="Q564" i="6"/>
  <c r="I19" i="6" s="1"/>
  <c r="T219" i="6"/>
  <c r="N219" i="6" s="1"/>
  <c r="S219" i="6"/>
  <c r="S303" i="6"/>
  <c r="M303" i="6" s="1"/>
  <c r="T303" i="6"/>
  <c r="N303" i="6" s="1"/>
  <c r="K207" i="6"/>
  <c r="L207" i="6" s="1"/>
  <c r="O207" i="6" s="1"/>
  <c r="P207" i="6" s="1"/>
  <c r="Q207" i="6" s="1"/>
  <c r="S180" i="6" s="1"/>
  <c r="K11" i="6" s="1"/>
  <c r="O281" i="6"/>
  <c r="M281" i="6"/>
  <c r="J205" i="6"/>
  <c r="S282" i="6"/>
  <c r="T282" i="6"/>
  <c r="N282" i="6" s="1"/>
  <c r="T222" i="6"/>
  <c r="N222" i="6" s="1"/>
  <c r="S222" i="6"/>
  <c r="M264" i="6"/>
  <c r="O264" i="6"/>
  <c r="M261" i="6"/>
  <c r="O261" i="6"/>
  <c r="C332" i="6"/>
  <c r="G332" i="6" s="1"/>
  <c r="J332" i="6" s="1"/>
  <c r="G330" i="6"/>
  <c r="L329" i="6"/>
  <c r="T329" i="6" s="1"/>
  <c r="N329" i="6" s="1"/>
  <c r="K329" i="6"/>
  <c r="O279" i="6"/>
  <c r="M279" i="6"/>
  <c r="J288" i="6"/>
  <c r="O262" i="6"/>
  <c r="M262" i="6"/>
  <c r="M263" i="6"/>
  <c r="O263" i="6"/>
  <c r="K290" i="6"/>
  <c r="L290" i="6" s="1"/>
  <c r="S290" i="6" s="1"/>
  <c r="M290" i="6" s="1"/>
  <c r="T304" i="6"/>
  <c r="N304" i="6" s="1"/>
  <c r="S304" i="6"/>
  <c r="M304" i="6" s="1"/>
  <c r="M280" i="6"/>
  <c r="O280" i="6"/>
  <c r="T238" i="6"/>
  <c r="N238" i="6" s="1"/>
  <c r="S238" i="6"/>
  <c r="J331" i="6"/>
  <c r="T270" i="6"/>
  <c r="S270" i="6"/>
  <c r="C291" i="6"/>
  <c r="G291" i="6" s="1"/>
  <c r="G289" i="6"/>
  <c r="J289" i="6" s="1"/>
  <c r="C208" i="6"/>
  <c r="G208" i="6" s="1"/>
  <c r="J208" i="6" s="1"/>
  <c r="G206" i="6"/>
  <c r="J206" i="6" s="1"/>
  <c r="Q97" i="6" l="1"/>
  <c r="I9" i="6" s="1"/>
  <c r="M249" i="6"/>
  <c r="O249" i="6"/>
  <c r="T221" i="6"/>
  <c r="N221" i="6" s="1"/>
  <c r="M222" i="6"/>
  <c r="O222" i="6"/>
  <c r="M221" i="6"/>
  <c r="O221" i="6"/>
  <c r="Q221" i="6" s="1"/>
  <c r="K12" i="6" s="1"/>
  <c r="M238" i="6"/>
  <c r="O238" i="6"/>
  <c r="Q220" i="6" s="1"/>
  <c r="J12" i="6" s="1"/>
  <c r="M219" i="6"/>
  <c r="O219" i="6"/>
  <c r="Q219" i="6" s="1"/>
  <c r="I12" i="6" s="1"/>
  <c r="L19" i="6"/>
  <c r="K19" i="6"/>
  <c r="J19" i="6"/>
  <c r="S329" i="6"/>
  <c r="M329" i="6" s="1"/>
  <c r="T290" i="6"/>
  <c r="K206" i="6"/>
  <c r="L206" i="6" s="1"/>
  <c r="O206" i="6" s="1"/>
  <c r="P206" i="6" s="1"/>
  <c r="Q206" i="6" s="1"/>
  <c r="S179" i="6" s="1"/>
  <c r="J11" i="6" s="1"/>
  <c r="K332" i="6"/>
  <c r="L332" i="6" s="1"/>
  <c r="S332" i="6" s="1"/>
  <c r="M332" i="6" s="1"/>
  <c r="K331" i="6"/>
  <c r="L331" i="6" s="1"/>
  <c r="J330" i="6"/>
  <c r="K208" i="6"/>
  <c r="L208" i="6" s="1"/>
  <c r="O208" i="6" s="1"/>
  <c r="P208" i="6" s="1"/>
  <c r="Q208" i="6" s="1"/>
  <c r="S181" i="6" s="1"/>
  <c r="L11" i="6" s="1"/>
  <c r="M282" i="6"/>
  <c r="O282" i="6"/>
  <c r="K205" i="6"/>
  <c r="L205" i="6"/>
  <c r="O205" i="6" s="1"/>
  <c r="P205" i="6" s="1"/>
  <c r="Q205" i="6" s="1"/>
  <c r="S178" i="6" s="1"/>
  <c r="I11" i="6" s="1"/>
  <c r="K288" i="6"/>
  <c r="L288" i="6" s="1"/>
  <c r="K289" i="6"/>
  <c r="L289" i="6" s="1"/>
  <c r="T289" i="6" s="1"/>
  <c r="N289" i="6" s="1"/>
  <c r="J291" i="6"/>
  <c r="N290" i="6" l="1"/>
  <c r="O290" i="6"/>
  <c r="Q263" i="6" s="1"/>
  <c r="Q272" i="6" s="1" a="1"/>
  <c r="Q272" i="6" s="1"/>
  <c r="K13" i="6" s="1"/>
  <c r="K26" i="6" s="1"/>
  <c r="K27" i="6" s="1"/>
  <c r="K30" i="6" s="1"/>
  <c r="Q222" i="6"/>
  <c r="L12" i="6" s="1"/>
  <c r="T332" i="6"/>
  <c r="N332" i="6" s="1"/>
  <c r="S288" i="6"/>
  <c r="T288" i="6"/>
  <c r="N288" i="6" s="1"/>
  <c r="S331" i="6"/>
  <c r="M331" i="6" s="1"/>
  <c r="T331" i="6"/>
  <c r="N331" i="6" s="1"/>
  <c r="S289" i="6"/>
  <c r="K330" i="6"/>
  <c r="L330" i="6"/>
  <c r="K291" i="6"/>
  <c r="L291" i="6" s="1"/>
  <c r="M289" i="6" l="1"/>
  <c r="O289" i="6"/>
  <c r="Q262" i="6" s="1"/>
  <c r="Q271" i="6" s="1" a="1"/>
  <c r="Q271" i="6" s="1"/>
  <c r="J13" i="6" s="1"/>
  <c r="J26" i="6" s="1"/>
  <c r="J27" i="6" s="1"/>
  <c r="J31" i="6" s="1"/>
  <c r="M288" i="6"/>
  <c r="O288" i="6"/>
  <c r="Q261" i="6" s="1"/>
  <c r="Q270" i="6" s="1" a="1"/>
  <c r="Q270" i="6" s="1"/>
  <c r="I13" i="6" s="1"/>
  <c r="I26" i="6" s="1"/>
  <c r="I27" i="6" s="1"/>
  <c r="I31" i="6" s="1"/>
  <c r="K31" i="6"/>
  <c r="K33" i="6" s="1"/>
  <c r="K28" i="6"/>
  <c r="K29" i="6"/>
  <c r="K32" i="6"/>
  <c r="S291" i="6"/>
  <c r="T291" i="6"/>
  <c r="N291" i="6" s="1"/>
  <c r="S330" i="6"/>
  <c r="M330" i="6" s="1"/>
  <c r="T330" i="6"/>
  <c r="N330" i="6" s="1"/>
  <c r="M291" i="6" l="1"/>
  <c r="O291" i="6"/>
  <c r="Q264" i="6" s="1"/>
  <c r="Q273" i="6" s="1" a="1"/>
  <c r="Q273" i="6" s="1"/>
  <c r="L13" i="6" s="1"/>
  <c r="L26" i="6" s="1"/>
  <c r="L27" i="6" s="1"/>
  <c r="L32" i="6" s="1"/>
  <c r="L33" i="6" s="1"/>
  <c r="J32" i="6"/>
  <c r="J30" i="6"/>
  <c r="J33" i="6" s="1"/>
  <c r="J29" i="6"/>
  <c r="J28" i="6"/>
  <c r="I28" i="6"/>
  <c r="I29" i="6"/>
  <c r="I33" i="6" s="1"/>
  <c r="I30" i="6"/>
  <c r="I32" i="6"/>
  <c r="L29" i="6" l="1"/>
  <c r="L31" i="6"/>
  <c r="L28" i="6"/>
  <c r="L3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0" authorId="0" shapeId="0" xr:uid="{00000000-0006-0000-0000-000001000000}">
      <text>
        <r>
          <rPr>
            <b/>
            <sz val="10"/>
            <color indexed="81"/>
            <rFont val="Tahoma"/>
            <family val="2"/>
          </rPr>
          <t>user:</t>
        </r>
        <r>
          <rPr>
            <sz val="10"/>
            <color indexed="81"/>
            <rFont val="Tahoma"/>
            <family val="2"/>
          </rPr>
          <t xml:space="preserve">
P3 on fixed value regardlessQuantity I7-L7</t>
        </r>
      </text>
    </comment>
    <comment ref="G19" authorId="0" shapeId="0" xr:uid="{00000000-0006-0000-0000-000002000000}">
      <text>
        <r>
          <rPr>
            <b/>
            <sz val="10"/>
            <color indexed="81"/>
            <rFont val="Tahoma"/>
            <family val="2"/>
          </rPr>
          <t>user:</t>
        </r>
        <r>
          <rPr>
            <sz val="10"/>
            <color indexed="81"/>
            <rFont val="Tahoma"/>
            <family val="2"/>
          </rPr>
          <t xml:space="preserve">
P12 on fixed value regardlessQuantity I7-L7 </t>
        </r>
      </text>
    </comment>
    <comment ref="A25" authorId="0" shapeId="0" xr:uid="{00000000-0006-0000-0000-000003000000}">
      <text>
        <r>
          <rPr>
            <b/>
            <sz val="10"/>
            <color indexed="81"/>
            <rFont val="Tahoma"/>
            <family val="2"/>
          </rPr>
          <t>user:
Display at last session for internet user to select before check out</t>
        </r>
      </text>
    </comment>
    <comment ref="H25" authorId="0" shapeId="0" xr:uid="{00000000-0006-0000-0000-000004000000}">
      <text>
        <r>
          <rPr>
            <b/>
            <sz val="10"/>
            <color indexed="81"/>
            <rFont val="Tahoma"/>
            <family val="2"/>
          </rPr>
          <t>user:
Display at last session for internet user to select before check out</t>
        </r>
      </text>
    </comment>
    <comment ref="AD38" authorId="0" shapeId="0" xr:uid="{00000000-0006-0000-0000-000005000000}">
      <text>
        <r>
          <rPr>
            <b/>
            <sz val="10"/>
            <color indexed="81"/>
            <rFont val="Tahoma"/>
            <family val="2"/>
          </rPr>
          <t>user:</t>
        </r>
        <r>
          <rPr>
            <sz val="10"/>
            <color indexed="81"/>
            <rFont val="Tahoma"/>
            <family val="2"/>
          </rPr>
          <t xml:space="preserve">
Total Print cost by validating Column M and Column N,selecting whichever is in greater value</t>
        </r>
      </text>
    </comment>
    <comment ref="AK39" authorId="0" shapeId="0" xr:uid="{00000000-0006-0000-0000-000006000000}">
      <text>
        <r>
          <rPr>
            <b/>
            <sz val="10"/>
            <color indexed="81"/>
            <rFont val="Tahoma"/>
            <family val="2"/>
          </rPr>
          <t>user:</t>
        </r>
        <r>
          <rPr>
            <sz val="10"/>
            <color indexed="81"/>
            <rFont val="Tahoma"/>
            <family val="2"/>
          </rPr>
          <t xml:space="preserve">
Paper Open Size type 1
=1X1Y,1 piece paper formed 1 bag,with 1 side glue area only.
</t>
        </r>
      </text>
    </comment>
    <comment ref="AL39" authorId="0" shapeId="0" xr:uid="{00000000-0006-0000-0000-000007000000}">
      <text>
        <r>
          <rPr>
            <b/>
            <sz val="10"/>
            <color indexed="81"/>
            <rFont val="Tahoma"/>
            <family val="2"/>
          </rPr>
          <t>user:</t>
        </r>
        <r>
          <rPr>
            <sz val="10"/>
            <color indexed="81"/>
            <rFont val="Tahoma"/>
            <family val="2"/>
          </rPr>
          <t xml:space="preserve">
Paper open size type 2,
2 piece paper to joint for 1 bag,2 side glue area involved.</t>
        </r>
      </text>
    </comment>
    <comment ref="AM39" authorId="0" shapeId="0" xr:uid="{00000000-0006-0000-0000-000008000000}">
      <text>
        <r>
          <rPr>
            <b/>
            <sz val="10"/>
            <color indexed="81"/>
            <rFont val="Tahoma"/>
            <family val="2"/>
          </rPr>
          <t>user:</t>
        </r>
        <r>
          <rPr>
            <sz val="10"/>
            <color indexed="81"/>
            <rFont val="Tahoma"/>
            <family val="2"/>
          </rPr>
          <t xml:space="preserve">
Paper open size type 3,
2 piece paper to join for make 1 bag,2 side glue area involved for formed a bag.</t>
        </r>
      </text>
    </comment>
    <comment ref="AN39" authorId="0" shapeId="0" xr:uid="{00000000-0006-0000-0000-000009000000}">
      <text>
        <r>
          <rPr>
            <b/>
            <sz val="10"/>
            <color indexed="81"/>
            <rFont val="Tahoma"/>
            <family val="2"/>
          </rPr>
          <t>user:</t>
        </r>
        <r>
          <rPr>
            <sz val="10"/>
            <color indexed="81"/>
            <rFont val="Tahoma"/>
            <family val="2"/>
          </rPr>
          <t xml:space="preserve">
Paper open size type 4,
Open size in 2 ups,for printing,could make 2 bags.
</t>
        </r>
      </text>
    </comment>
    <comment ref="Q40" authorId="0" shapeId="0" xr:uid="{00000000-0006-0000-0000-00000A000000}">
      <text>
        <r>
          <rPr>
            <b/>
            <sz val="9"/>
            <color indexed="81"/>
            <rFont val="Tahoma"/>
            <family val="2"/>
          </rPr>
          <t>user:</t>
        </r>
        <r>
          <rPr>
            <sz val="9"/>
            <color indexed="81"/>
            <rFont val="Tahoma"/>
            <family val="2"/>
          </rPr>
          <t xml:space="preserve">
The average P1=Paper Cost on column I are take the average of value on column P,WITH THE CORRESPONDING COLUMN J VALUE=TRUE ONLY
</t>
        </r>
      </text>
    </comment>
    <comment ref="AE40" authorId="0" shapeId="0" xr:uid="{00000000-0006-0000-0000-00000B000000}">
      <text>
        <r>
          <rPr>
            <b/>
            <sz val="10"/>
            <color indexed="81"/>
            <rFont val="Tahoma"/>
            <family val="2"/>
          </rPr>
          <t>user:</t>
        </r>
        <r>
          <rPr>
            <sz val="10"/>
            <color indexed="81"/>
            <rFont val="Tahoma"/>
            <family val="2"/>
          </rPr>
          <t xml:space="preserve">
AE7 VALUE are master value reference for AE7 to AE36 (=AE7)</t>
        </r>
      </text>
    </comment>
    <comment ref="AH40" authorId="0" shapeId="0" xr:uid="{00000000-0006-0000-0000-00000C000000}">
      <text>
        <r>
          <rPr>
            <b/>
            <sz val="10"/>
            <color indexed="81"/>
            <rFont val="Tahoma"/>
            <family val="2"/>
          </rPr>
          <t>user:</t>
        </r>
        <r>
          <rPr>
            <sz val="10"/>
            <color indexed="81"/>
            <rFont val="Tahoma"/>
            <family val="2"/>
          </rPr>
          <t xml:space="preserve">
AF7 Value are master ref for cell;meaning AF7= AF8 to AF36
</t>
        </r>
      </text>
    </comment>
    <comment ref="C94" authorId="0" shapeId="0" xr:uid="{00000000-0006-0000-0000-00000D000000}">
      <text>
        <r>
          <rPr>
            <b/>
            <sz val="10"/>
            <color indexed="81"/>
            <rFont val="Tahoma"/>
            <family val="2"/>
          </rPr>
          <t>user:</t>
        </r>
        <r>
          <rPr>
            <sz val="10"/>
            <color indexed="81"/>
            <rFont val="Tahoma"/>
            <family val="2"/>
          </rPr>
          <t xml:space="preserve">
User key in bag measurement in mm for C4/D4/E4
</t>
        </r>
      </text>
    </comment>
    <comment ref="D94" authorId="0" shapeId="0" xr:uid="{00000000-0006-0000-0000-00000E000000}">
      <text>
        <r>
          <rPr>
            <b/>
            <sz val="10"/>
            <color indexed="81"/>
            <rFont val="Tahoma"/>
            <family val="2"/>
          </rPr>
          <t>user:</t>
        </r>
        <r>
          <rPr>
            <sz val="10"/>
            <color indexed="81"/>
            <rFont val="Tahoma"/>
            <family val="2"/>
          </rPr>
          <t xml:space="preserve">
User key in bag measurement in mm for C4/D4/E4</t>
        </r>
      </text>
    </comment>
    <comment ref="E94" authorId="0" shapeId="0" xr:uid="{00000000-0006-0000-0000-00000F000000}">
      <text>
        <r>
          <rPr>
            <b/>
            <sz val="10"/>
            <color indexed="81"/>
            <rFont val="Tahoma"/>
            <family val="2"/>
          </rPr>
          <t>user:</t>
        </r>
        <r>
          <rPr>
            <sz val="10"/>
            <color indexed="81"/>
            <rFont val="Tahoma"/>
            <family val="2"/>
          </rPr>
          <t xml:space="preserve">
User key in bag measurement in mm for C4/D4/E4</t>
        </r>
      </text>
    </comment>
    <comment ref="H96" authorId="0" shapeId="0" xr:uid="{00000000-0006-0000-0000-000010000000}">
      <text>
        <r>
          <rPr>
            <b/>
            <sz val="10"/>
            <color indexed="81"/>
            <rFont val="Tahoma"/>
            <family val="2"/>
          </rPr>
          <t>user:</t>
        </r>
        <r>
          <rPr>
            <sz val="10"/>
            <color indexed="81"/>
            <rFont val="Tahoma"/>
            <family val="2"/>
          </rPr>
          <t xml:space="preserve">
Select from the listing from Q65 to Q77
</t>
        </r>
      </text>
    </comment>
    <comment ref="Q97" authorId="0" shapeId="0" xr:uid="{00000000-0006-0000-0000-000011000000}">
      <text>
        <r>
          <rPr>
            <b/>
            <sz val="9"/>
            <color indexed="81"/>
            <rFont val="Tahoma"/>
            <family val="2"/>
          </rPr>
          <t>user:</t>
        </r>
        <r>
          <rPr>
            <sz val="9"/>
            <color indexed="81"/>
            <rFont val="Tahoma"/>
            <family val="2"/>
          </rPr>
          <t xml:space="preserve">
Take average cost of Bag quantity on column I with average cost of column M &gt;0 (=TRUE on Column J)</t>
        </r>
      </text>
    </comment>
    <comment ref="C134" authorId="0" shapeId="0" xr:uid="{00000000-0006-0000-0000-000012000000}">
      <text>
        <r>
          <rPr>
            <b/>
            <sz val="10"/>
            <color indexed="81"/>
            <rFont val="Tahoma"/>
            <family val="2"/>
          </rPr>
          <t>user:</t>
        </r>
        <r>
          <rPr>
            <sz val="10"/>
            <color indexed="81"/>
            <rFont val="Tahoma"/>
            <family val="2"/>
          </rPr>
          <t xml:space="preserve">
User key in bag measurement in mm for C4/D4/E4
</t>
        </r>
      </text>
    </comment>
    <comment ref="D134" authorId="0" shapeId="0" xr:uid="{00000000-0006-0000-0000-000013000000}">
      <text>
        <r>
          <rPr>
            <b/>
            <sz val="10"/>
            <color indexed="81"/>
            <rFont val="Tahoma"/>
            <family val="2"/>
          </rPr>
          <t>user:</t>
        </r>
        <r>
          <rPr>
            <sz val="10"/>
            <color indexed="81"/>
            <rFont val="Tahoma"/>
            <family val="2"/>
          </rPr>
          <t xml:space="preserve">
User key in bag measurement in mm for C4/D4/E4</t>
        </r>
      </text>
    </comment>
    <comment ref="E134" authorId="0" shapeId="0" xr:uid="{00000000-0006-0000-0000-000014000000}">
      <text>
        <r>
          <rPr>
            <b/>
            <sz val="10"/>
            <color indexed="81"/>
            <rFont val="Tahoma"/>
            <family val="2"/>
          </rPr>
          <t>user:</t>
        </r>
        <r>
          <rPr>
            <sz val="10"/>
            <color indexed="81"/>
            <rFont val="Tahoma"/>
            <family val="2"/>
          </rPr>
          <t xml:space="preserve">
User key in bag measurement in mm for C4/D4/E4</t>
        </r>
      </text>
    </comment>
    <comment ref="Q136" authorId="0" shapeId="0" xr:uid="{00000000-0006-0000-0000-000015000000}">
      <text>
        <r>
          <rPr>
            <b/>
            <sz val="9"/>
            <color indexed="81"/>
            <rFont val="Tahoma"/>
            <family val="2"/>
          </rPr>
          <t>user:</t>
        </r>
        <r>
          <rPr>
            <sz val="9"/>
            <color indexed="81"/>
            <rFont val="Tahoma"/>
            <family val="2"/>
          </rPr>
          <t xml:space="preserve">
Take average cost of Bag quantity on column I with average cost of column M &gt;0 (=TRUE on Column J)</t>
        </r>
      </text>
    </comment>
    <comment ref="C175" authorId="0" shapeId="0" xr:uid="{00000000-0006-0000-0000-000016000000}">
      <text>
        <r>
          <rPr>
            <b/>
            <sz val="10"/>
            <color indexed="81"/>
            <rFont val="Tahoma"/>
            <family val="2"/>
          </rPr>
          <t>user:</t>
        </r>
        <r>
          <rPr>
            <sz val="10"/>
            <color indexed="81"/>
            <rFont val="Tahoma"/>
            <family val="2"/>
          </rPr>
          <t xml:space="preserve">
User key in bag measurement in mm for C4/D4/E4
</t>
        </r>
      </text>
    </comment>
    <comment ref="D175" authorId="0" shapeId="0" xr:uid="{00000000-0006-0000-0000-000017000000}">
      <text>
        <r>
          <rPr>
            <b/>
            <sz val="10"/>
            <color indexed="81"/>
            <rFont val="Tahoma"/>
            <family val="2"/>
          </rPr>
          <t>user:</t>
        </r>
        <r>
          <rPr>
            <sz val="10"/>
            <color indexed="81"/>
            <rFont val="Tahoma"/>
            <family val="2"/>
          </rPr>
          <t xml:space="preserve">
User key in bag measurement in mm for C4/D4/E4</t>
        </r>
      </text>
    </comment>
    <comment ref="E175" authorId="0" shapeId="0" xr:uid="{00000000-0006-0000-0000-000018000000}">
      <text>
        <r>
          <rPr>
            <b/>
            <sz val="10"/>
            <color indexed="81"/>
            <rFont val="Tahoma"/>
            <family val="2"/>
          </rPr>
          <t>user:</t>
        </r>
        <r>
          <rPr>
            <sz val="10"/>
            <color indexed="81"/>
            <rFont val="Tahoma"/>
            <family val="2"/>
          </rPr>
          <t xml:space="preserve">
User key in bag measurement in mm for C4/D4/E4</t>
        </r>
      </text>
    </comment>
    <comment ref="S178" authorId="0" shapeId="0" xr:uid="{00000000-0006-0000-0000-000019000000}">
      <text>
        <r>
          <rPr>
            <b/>
            <sz val="9"/>
            <color indexed="81"/>
            <rFont val="Tahoma"/>
            <family val="2"/>
          </rPr>
          <t>user:</t>
        </r>
        <r>
          <rPr>
            <sz val="9"/>
            <color indexed="81"/>
            <rFont val="Tahoma"/>
            <family val="2"/>
          </rPr>
          <t xml:space="preserve">
Take average cost of Bag quantity on column I with average cost of column M &gt;0 (=TRUE on Column J)</t>
        </r>
      </text>
    </comment>
    <comment ref="C216" authorId="0" shapeId="0" xr:uid="{00000000-0006-0000-0000-00001A000000}">
      <text>
        <r>
          <rPr>
            <b/>
            <sz val="10"/>
            <color indexed="81"/>
            <rFont val="Tahoma"/>
            <family val="2"/>
          </rPr>
          <t>user:</t>
        </r>
        <r>
          <rPr>
            <sz val="10"/>
            <color indexed="81"/>
            <rFont val="Tahoma"/>
            <family val="2"/>
          </rPr>
          <t xml:space="preserve">
User key in bag measurement in mm for C4/D4/E4
</t>
        </r>
      </text>
    </comment>
    <comment ref="D216" authorId="0" shapeId="0" xr:uid="{00000000-0006-0000-0000-00001B000000}">
      <text>
        <r>
          <rPr>
            <b/>
            <sz val="10"/>
            <color indexed="81"/>
            <rFont val="Tahoma"/>
            <family val="2"/>
          </rPr>
          <t>user:</t>
        </r>
        <r>
          <rPr>
            <sz val="10"/>
            <color indexed="81"/>
            <rFont val="Tahoma"/>
            <family val="2"/>
          </rPr>
          <t xml:space="preserve">
User key in bag measurement in mm for C4/D4/E4</t>
        </r>
      </text>
    </comment>
    <comment ref="E216" authorId="0" shapeId="0" xr:uid="{00000000-0006-0000-0000-00001C000000}">
      <text>
        <r>
          <rPr>
            <b/>
            <sz val="10"/>
            <color indexed="81"/>
            <rFont val="Tahoma"/>
            <family val="2"/>
          </rPr>
          <t>user:</t>
        </r>
        <r>
          <rPr>
            <sz val="10"/>
            <color indexed="81"/>
            <rFont val="Tahoma"/>
            <family val="2"/>
          </rPr>
          <t xml:space="preserve">
User key in bag measurement in mm for C4/D4/E4</t>
        </r>
      </text>
    </comment>
    <comment ref="H218" authorId="0" shapeId="0" xr:uid="{00000000-0006-0000-0000-00001D000000}">
      <text>
        <r>
          <rPr>
            <b/>
            <sz val="10"/>
            <color indexed="81"/>
            <rFont val="Tahoma"/>
            <family val="2"/>
          </rPr>
          <t>user:</t>
        </r>
        <r>
          <rPr>
            <sz val="10"/>
            <color indexed="81"/>
            <rFont val="Tahoma"/>
            <family val="2"/>
          </rPr>
          <t xml:space="preserve">
Select from N204 to 
N206</t>
        </r>
      </text>
    </comment>
    <comment ref="Q219" authorId="0" shapeId="0" xr:uid="{00000000-0006-0000-0000-00001E000000}">
      <text>
        <r>
          <rPr>
            <b/>
            <sz val="9"/>
            <color indexed="81"/>
            <rFont val="Tahoma"/>
            <family val="2"/>
          </rPr>
          <t>user:</t>
        </r>
        <r>
          <rPr>
            <sz val="9"/>
            <color indexed="81"/>
            <rFont val="Tahoma"/>
            <family val="2"/>
          </rPr>
          <t xml:space="preserve">
Take average cost of Bag quantity on column I with average cost of column M &gt;0 (=TRUE on Column J)</t>
        </r>
      </text>
    </comment>
    <comment ref="C258" authorId="0" shapeId="0" xr:uid="{00000000-0006-0000-0000-00001F000000}">
      <text>
        <r>
          <rPr>
            <b/>
            <sz val="10"/>
            <color indexed="81"/>
            <rFont val="Tahoma"/>
            <family val="2"/>
          </rPr>
          <t>user:</t>
        </r>
        <r>
          <rPr>
            <sz val="10"/>
            <color indexed="81"/>
            <rFont val="Tahoma"/>
            <family val="2"/>
          </rPr>
          <t xml:space="preserve">
User key in bag measurement in mm for C4/D4/E4
</t>
        </r>
      </text>
    </comment>
    <comment ref="D258" authorId="0" shapeId="0" xr:uid="{00000000-0006-0000-0000-000020000000}">
      <text>
        <r>
          <rPr>
            <b/>
            <sz val="10"/>
            <color indexed="81"/>
            <rFont val="Tahoma"/>
            <family val="2"/>
          </rPr>
          <t>user:</t>
        </r>
        <r>
          <rPr>
            <sz val="10"/>
            <color indexed="81"/>
            <rFont val="Tahoma"/>
            <family val="2"/>
          </rPr>
          <t xml:space="preserve">
User key in bag measurement in mm for C4/D4/E4</t>
        </r>
      </text>
    </comment>
    <comment ref="E258" authorId="0" shapeId="0" xr:uid="{00000000-0006-0000-0000-000021000000}">
      <text>
        <r>
          <rPr>
            <b/>
            <sz val="10"/>
            <color indexed="81"/>
            <rFont val="Tahoma"/>
            <family val="2"/>
          </rPr>
          <t>user:</t>
        </r>
        <r>
          <rPr>
            <sz val="10"/>
            <color indexed="81"/>
            <rFont val="Tahoma"/>
            <family val="2"/>
          </rPr>
          <t xml:space="preserve">
User key in bag measurement in mm for C4/D4/E4</t>
        </r>
      </text>
    </comment>
    <comment ref="H260" authorId="0" shapeId="0" xr:uid="{00000000-0006-0000-0000-000022000000}">
      <text>
        <r>
          <rPr>
            <b/>
            <sz val="10"/>
            <color indexed="81"/>
            <rFont val="Tahoma"/>
            <family val="2"/>
          </rPr>
          <t>user:</t>
        </r>
        <r>
          <rPr>
            <sz val="10"/>
            <color indexed="81"/>
            <rFont val="Tahoma"/>
            <family val="2"/>
          </rPr>
          <t xml:space="preserve">
Select from N246 to N248
</t>
        </r>
      </text>
    </comment>
    <comment ref="Q261" authorId="0" shapeId="0" xr:uid="{00000000-0006-0000-0000-000023000000}">
      <text>
        <r>
          <rPr>
            <b/>
            <sz val="9"/>
            <color indexed="81"/>
            <rFont val="Tahoma"/>
            <family val="2"/>
          </rPr>
          <t>user:</t>
        </r>
        <r>
          <rPr>
            <sz val="9"/>
            <color indexed="81"/>
            <rFont val="Tahoma"/>
            <family val="2"/>
          </rPr>
          <t xml:space="preserve">
Take average cost of Bag quantity on column I with average cost of column M &gt;0 (=TRUE on Column J)</t>
        </r>
      </text>
    </comment>
    <comment ref="C299" authorId="0" shapeId="0" xr:uid="{00000000-0006-0000-0000-000024000000}">
      <text>
        <r>
          <rPr>
            <b/>
            <sz val="10"/>
            <color indexed="81"/>
            <rFont val="Tahoma"/>
            <family val="2"/>
          </rPr>
          <t>user:</t>
        </r>
        <r>
          <rPr>
            <sz val="10"/>
            <color indexed="81"/>
            <rFont val="Tahoma"/>
            <family val="2"/>
          </rPr>
          <t xml:space="preserve">
User key in bag measurement in mm for C4/D4/E4
</t>
        </r>
      </text>
    </comment>
    <comment ref="D299" authorId="0" shapeId="0" xr:uid="{00000000-0006-0000-0000-000025000000}">
      <text>
        <r>
          <rPr>
            <b/>
            <sz val="10"/>
            <color indexed="81"/>
            <rFont val="Tahoma"/>
            <family val="2"/>
          </rPr>
          <t>user:</t>
        </r>
        <r>
          <rPr>
            <sz val="10"/>
            <color indexed="81"/>
            <rFont val="Tahoma"/>
            <family val="2"/>
          </rPr>
          <t xml:space="preserve">
User key in bag measurement in mm for C4/D4/E4</t>
        </r>
      </text>
    </comment>
    <comment ref="E299" authorId="0" shapeId="0" xr:uid="{00000000-0006-0000-0000-000026000000}">
      <text>
        <r>
          <rPr>
            <b/>
            <sz val="10"/>
            <color indexed="81"/>
            <rFont val="Tahoma"/>
            <family val="2"/>
          </rPr>
          <t>user:</t>
        </r>
        <r>
          <rPr>
            <sz val="10"/>
            <color indexed="81"/>
            <rFont val="Tahoma"/>
            <family val="2"/>
          </rPr>
          <t xml:space="preserve">
User key in bag measurement in mm for C4/D4/E4</t>
        </r>
      </text>
    </comment>
    <comment ref="H301" authorId="0" shapeId="0" xr:uid="{00000000-0006-0000-0000-000027000000}">
      <text>
        <r>
          <rPr>
            <b/>
            <sz val="10"/>
            <color indexed="81"/>
            <rFont val="Tahoma"/>
            <family val="2"/>
          </rPr>
          <t>user:</t>
        </r>
        <r>
          <rPr>
            <sz val="10"/>
            <color indexed="81"/>
            <rFont val="Tahoma"/>
            <family val="2"/>
          </rPr>
          <t xml:space="preserve">
Select from N246 to N248
</t>
        </r>
      </text>
    </comment>
    <comment ref="Q302" authorId="0" shapeId="0" xr:uid="{00000000-0006-0000-0000-000028000000}">
      <text>
        <r>
          <rPr>
            <b/>
            <sz val="9"/>
            <color indexed="81"/>
            <rFont val="Tahoma"/>
            <family val="2"/>
          </rPr>
          <t>user:</t>
        </r>
        <r>
          <rPr>
            <sz val="9"/>
            <color indexed="81"/>
            <rFont val="Tahoma"/>
            <family val="2"/>
          </rPr>
          <t xml:space="preserve">
Take average cost of Bag quantity on column I with average cost of column M &gt;0 (=TRUE on Column J)</t>
        </r>
      </text>
    </comment>
    <comment ref="B475" authorId="0" shapeId="0" xr:uid="{00000000-0006-0000-0000-000029000000}">
      <text>
        <r>
          <rPr>
            <b/>
            <sz val="10"/>
            <color indexed="81"/>
            <rFont val="Tahoma"/>
            <family val="2"/>
          </rPr>
          <t>user:</t>
        </r>
        <r>
          <rPr>
            <sz val="10"/>
            <color indexed="81"/>
            <rFont val="Tahoma"/>
            <family val="2"/>
          </rPr>
          <t xml:space="preserve">
P10 Texture Embossed cost only involved if opt for selection on E17 with 'YES' or 'NO"</t>
        </r>
      </text>
    </comment>
    <comment ref="C479" authorId="0" shapeId="0" xr:uid="{00000000-0006-0000-0000-00002A000000}">
      <text>
        <r>
          <rPr>
            <b/>
            <sz val="10"/>
            <color indexed="81"/>
            <rFont val="Tahoma"/>
            <family val="2"/>
          </rPr>
          <t>user:</t>
        </r>
        <r>
          <rPr>
            <sz val="10"/>
            <color indexed="81"/>
            <rFont val="Tahoma"/>
            <family val="2"/>
          </rPr>
          <t xml:space="preserve">
User key in bag measurement in mm for C4/D4/E4
</t>
        </r>
      </text>
    </comment>
    <comment ref="D479" authorId="0" shapeId="0" xr:uid="{00000000-0006-0000-0000-00002B000000}">
      <text>
        <r>
          <rPr>
            <b/>
            <sz val="10"/>
            <color indexed="81"/>
            <rFont val="Tahoma"/>
            <family val="2"/>
          </rPr>
          <t>user:</t>
        </r>
        <r>
          <rPr>
            <sz val="10"/>
            <color indexed="81"/>
            <rFont val="Tahoma"/>
            <family val="2"/>
          </rPr>
          <t xml:space="preserve">
User key in bag measurement in mm for C4/D4/E4</t>
        </r>
      </text>
    </comment>
    <comment ref="E479" authorId="0" shapeId="0" xr:uid="{00000000-0006-0000-0000-00002C000000}">
      <text>
        <r>
          <rPr>
            <b/>
            <sz val="10"/>
            <color indexed="81"/>
            <rFont val="Tahoma"/>
            <family val="2"/>
          </rPr>
          <t>user:</t>
        </r>
        <r>
          <rPr>
            <sz val="10"/>
            <color indexed="81"/>
            <rFont val="Tahoma"/>
            <family val="2"/>
          </rPr>
          <t xml:space="preserve">
User key in bag measurement in mm for C4/D4/E4</t>
        </r>
      </text>
    </comment>
    <comment ref="H481" authorId="0" shapeId="0" xr:uid="{00000000-0006-0000-0000-00002D000000}">
      <text>
        <r>
          <rPr>
            <b/>
            <sz val="10"/>
            <color indexed="81"/>
            <rFont val="Tahoma"/>
            <family val="2"/>
          </rPr>
          <t>user:</t>
        </r>
        <r>
          <rPr>
            <sz val="10"/>
            <color indexed="81"/>
            <rFont val="Tahoma"/>
            <family val="2"/>
          </rPr>
          <t xml:space="preserve">
Select from the listing from Q65 to Q77
</t>
        </r>
      </text>
    </comment>
    <comment ref="U482" authorId="0" shapeId="0" xr:uid="{00000000-0006-0000-0000-00002E000000}">
      <text>
        <r>
          <rPr>
            <b/>
            <sz val="9"/>
            <color indexed="81"/>
            <rFont val="Tahoma"/>
            <family val="2"/>
          </rPr>
          <t>user:</t>
        </r>
        <r>
          <rPr>
            <sz val="9"/>
            <color indexed="81"/>
            <rFont val="Tahoma"/>
            <family val="2"/>
          </rPr>
          <t xml:space="preserve">
Take average cost of Bag quantity on column I with average cost of column M &gt;0 (=TRUE on Column J)</t>
        </r>
      </text>
    </comment>
    <comment ref="B517" authorId="0" shapeId="0" xr:uid="{00000000-0006-0000-0000-00002F000000}">
      <text>
        <r>
          <rPr>
            <b/>
            <sz val="10"/>
            <color indexed="81"/>
            <rFont val="Tahoma"/>
            <family val="2"/>
          </rPr>
          <t>user:</t>
        </r>
        <r>
          <rPr>
            <sz val="10"/>
            <color indexed="81"/>
            <rFont val="Tahoma"/>
            <family val="2"/>
          </rPr>
          <t xml:space="preserve">
P10 Texture Embossed cost only involved if opt for selection on E17 with 'YES' or 'NO"</t>
        </r>
      </text>
    </comment>
    <comment ref="C521" authorId="0" shapeId="0" xr:uid="{00000000-0006-0000-0000-000030000000}">
      <text>
        <r>
          <rPr>
            <b/>
            <sz val="10"/>
            <color indexed="81"/>
            <rFont val="Tahoma"/>
            <family val="2"/>
          </rPr>
          <t>user:</t>
        </r>
        <r>
          <rPr>
            <sz val="10"/>
            <color indexed="81"/>
            <rFont val="Tahoma"/>
            <family val="2"/>
          </rPr>
          <t xml:space="preserve">
User key in bag measurement in mm for C4/D4/E4
</t>
        </r>
      </text>
    </comment>
    <comment ref="D521" authorId="0" shapeId="0" xr:uid="{00000000-0006-0000-0000-000031000000}">
      <text>
        <r>
          <rPr>
            <b/>
            <sz val="10"/>
            <color indexed="81"/>
            <rFont val="Tahoma"/>
            <family val="2"/>
          </rPr>
          <t>user:</t>
        </r>
        <r>
          <rPr>
            <sz val="10"/>
            <color indexed="81"/>
            <rFont val="Tahoma"/>
            <family val="2"/>
          </rPr>
          <t xml:space="preserve">
User key in bag measurement in mm for C4/D4/E4</t>
        </r>
      </text>
    </comment>
    <comment ref="E521" authorId="0" shapeId="0" xr:uid="{00000000-0006-0000-0000-000032000000}">
      <text>
        <r>
          <rPr>
            <b/>
            <sz val="10"/>
            <color indexed="81"/>
            <rFont val="Tahoma"/>
            <family val="2"/>
          </rPr>
          <t>user:</t>
        </r>
        <r>
          <rPr>
            <sz val="10"/>
            <color indexed="81"/>
            <rFont val="Tahoma"/>
            <family val="2"/>
          </rPr>
          <t xml:space="preserve">
User key in bag measurement in mm for C4/D4/E4</t>
        </r>
      </text>
    </comment>
    <comment ref="H523" authorId="0" shapeId="0" xr:uid="{00000000-0006-0000-0000-000033000000}">
      <text>
        <r>
          <rPr>
            <b/>
            <sz val="10"/>
            <color indexed="81"/>
            <rFont val="Tahoma"/>
            <family val="2"/>
          </rPr>
          <t>user:</t>
        </r>
        <r>
          <rPr>
            <sz val="10"/>
            <color indexed="81"/>
            <rFont val="Tahoma"/>
            <family val="2"/>
          </rPr>
          <t xml:space="preserve">
Select from the listing from Q65 to Q77
</t>
        </r>
      </text>
    </comment>
    <comment ref="U524" authorId="0" shapeId="0" xr:uid="{00000000-0006-0000-0000-000034000000}">
      <text>
        <r>
          <rPr>
            <b/>
            <sz val="9"/>
            <color indexed="81"/>
            <rFont val="Tahoma"/>
            <family val="2"/>
          </rPr>
          <t>user:</t>
        </r>
        <r>
          <rPr>
            <sz val="9"/>
            <color indexed="81"/>
            <rFont val="Tahoma"/>
            <family val="2"/>
          </rPr>
          <t xml:space="preserve">
Take average cost of Bag quantity on column I with average cost of column M &gt;0 (=TRUE on Column J)</t>
        </r>
      </text>
    </comment>
    <comment ref="Q564" authorId="0" shapeId="0" xr:uid="{00000000-0006-0000-0000-000035000000}">
      <text>
        <r>
          <rPr>
            <b/>
            <sz val="9"/>
            <color indexed="81"/>
            <rFont val="Tahoma"/>
            <family val="2"/>
          </rPr>
          <t>user:</t>
        </r>
        <r>
          <rPr>
            <sz val="9"/>
            <color indexed="81"/>
            <rFont val="Tahoma"/>
            <family val="2"/>
          </rPr>
          <t xml:space="preserve">
The average P1=Paper Cost on column I are take the average of value on column P,WITH THE CORRESPONDING COLUMN J VALUE=TRUE ONLY
</t>
        </r>
      </text>
    </comment>
  </commentList>
</comments>
</file>

<file path=xl/sharedStrings.xml><?xml version="1.0" encoding="utf-8"?>
<sst xmlns="http://schemas.openxmlformats.org/spreadsheetml/2006/main" count="1220" uniqueCount="362">
  <si>
    <t xml:space="preserve">Size </t>
  </si>
  <si>
    <t>H</t>
  </si>
  <si>
    <t>Material</t>
  </si>
  <si>
    <t>Total Paper Cost</t>
  </si>
  <si>
    <t>W</t>
  </si>
  <si>
    <t>Height</t>
  </si>
  <si>
    <t>Width</t>
  </si>
  <si>
    <t>Gusset</t>
  </si>
  <si>
    <t>X</t>
  </si>
  <si>
    <t>Y</t>
  </si>
  <si>
    <t>Q1</t>
  </si>
  <si>
    <t>Q2</t>
  </si>
  <si>
    <t>Q3</t>
  </si>
  <si>
    <t>Q4</t>
  </si>
  <si>
    <t>PB</t>
  </si>
  <si>
    <t>Formula Based on factors</t>
  </si>
  <si>
    <t>Multiple Adjustment</t>
  </si>
  <si>
    <t>Qty Tiers</t>
  </si>
  <si>
    <t>Unit Cost</t>
  </si>
  <si>
    <t>fix sum</t>
  </si>
  <si>
    <t>h</t>
  </si>
  <si>
    <t>w</t>
  </si>
  <si>
    <t>g</t>
  </si>
  <si>
    <t>Specs</t>
  </si>
  <si>
    <t>Average Value</t>
  </si>
  <si>
    <t xml:space="preserve"> P1-Size and Paper</t>
  </si>
  <si>
    <t>white Kraft 120</t>
  </si>
  <si>
    <r>
      <t xml:space="preserve"> </t>
    </r>
    <r>
      <rPr>
        <sz val="8"/>
        <color theme="1"/>
        <rFont val="Wingdings 3"/>
        <family val="1"/>
        <charset val="2"/>
      </rPr>
      <t></t>
    </r>
  </si>
  <si>
    <t xml:space="preserve"> P1,Paper</t>
  </si>
  <si>
    <t xml:space="preserve"> P2 Printing</t>
  </si>
  <si>
    <t>process 4c x 0c</t>
  </si>
  <si>
    <t></t>
  </si>
  <si>
    <t xml:space="preserve"> P2 ,Printing</t>
  </si>
  <si>
    <t xml:space="preserve"> P3 Plates</t>
  </si>
  <si>
    <t xml:space="preserve"> P3 ,Plates</t>
  </si>
  <si>
    <t xml:space="preserve"> P4 Ink </t>
  </si>
  <si>
    <t>Foil Type</t>
  </si>
  <si>
    <t>Normal Ink *</t>
  </si>
  <si>
    <t xml:space="preserve"> P4 ,ink </t>
  </si>
  <si>
    <t xml:space="preserve"> P5-Protection Varnish </t>
  </si>
  <si>
    <t>Hot Stamping Size</t>
  </si>
  <si>
    <t>Green</t>
  </si>
  <si>
    <t xml:space="preserve">Plain no protection </t>
  </si>
  <si>
    <t xml:space="preserve"> P5 , F1-Protection Varnish </t>
  </si>
  <si>
    <t xml:space="preserve"> P6 -Lamination</t>
  </si>
  <si>
    <t>h1 x w1,mm</t>
  </si>
  <si>
    <t>Plain without Lamination</t>
  </si>
  <si>
    <t xml:space="preserve"> P6,F2-Lamination</t>
  </si>
  <si>
    <t xml:space="preserve"> P7 Spot UV</t>
  </si>
  <si>
    <t>h2 x w2,mm</t>
  </si>
  <si>
    <t>No</t>
  </si>
  <si>
    <t xml:space="preserve"> P7 F3-Spot UV</t>
  </si>
  <si>
    <t xml:space="preserve"> P8 Stamping</t>
  </si>
  <si>
    <t>h3 x w3,mm</t>
  </si>
  <si>
    <t xml:space="preserve"> P8 F4-Stamping</t>
  </si>
  <si>
    <t xml:space="preserve"> P9 Emboosed &amp; Debossed</t>
  </si>
  <si>
    <t>embossed type</t>
  </si>
  <si>
    <t xml:space="preserve"> P9 F5-Emboosed &amp; Debossed</t>
  </si>
  <si>
    <t xml:space="preserve"> P10 -Texture Embossed</t>
  </si>
  <si>
    <t>Embossed Size</t>
  </si>
  <si>
    <t>Normal Embossed</t>
  </si>
  <si>
    <t xml:space="preserve"> P10 Value,Finishing,F6-Texture Embossed</t>
  </si>
  <si>
    <t xml:space="preserve"> P11 Die Cut</t>
  </si>
  <si>
    <t>H x M / mm</t>
  </si>
  <si>
    <t xml:space="preserve"> P11 Die Cut process</t>
  </si>
  <si>
    <t xml:space="preserve"> P12 DC Moulding</t>
  </si>
  <si>
    <t>New Mould</t>
  </si>
  <si>
    <t>Old Mould</t>
  </si>
  <si>
    <t xml:space="preserve"> P13 Handles</t>
  </si>
  <si>
    <t xml:space="preserve"> P14 Reinforcement Board</t>
  </si>
  <si>
    <t xml:space="preserve"> P15 Converting labor</t>
  </si>
  <si>
    <t xml:space="preserve"> P16 -wrapping or carton</t>
  </si>
  <si>
    <t xml:space="preserve"> P16 Packing-wrapping or carton</t>
  </si>
  <si>
    <t xml:space="preserve"> P17 logistic-EXW,FOB and D2D</t>
  </si>
  <si>
    <t>P17 Logistic-EXW,FOB and D2D</t>
  </si>
  <si>
    <t>Ex Klang Valley</t>
  </si>
  <si>
    <t xml:space="preserve"> P18 Mock up</t>
  </si>
  <si>
    <t xml:space="preserve">total </t>
  </si>
  <si>
    <t>Margin Index</t>
  </si>
  <si>
    <t>Unit Selling Price</t>
  </si>
  <si>
    <t>SP in SGD</t>
  </si>
  <si>
    <t>P1 : Paper Cost</t>
  </si>
  <si>
    <t>Quotation Generator Costing Parameter-P1 = Paper Material Cost</t>
  </si>
  <si>
    <t>P1  Lookup tables-print wastage % and paper wastage % S26 to Y73</t>
  </si>
  <si>
    <t xml:space="preserve">P2 :LOOKUP Multiple option on printing colors </t>
  </si>
  <si>
    <t xml:space="preserve">OS/common 1 UP </t>
  </si>
  <si>
    <t>Bag qty</t>
  </si>
  <si>
    <t>Bag made Validation</t>
  </si>
  <si>
    <t>Bag Made</t>
  </si>
  <si>
    <t>Print +%</t>
  </si>
  <si>
    <t>PaperWaste%</t>
  </si>
  <si>
    <t>Paper weight/kg</t>
  </si>
  <si>
    <t>Price/kg</t>
  </si>
  <si>
    <t>Average Cost P1</t>
  </si>
  <si>
    <t>Bag Start quantity</t>
  </si>
  <si>
    <t>Bag End quantity</t>
  </si>
  <si>
    <t>print Wastage %</t>
  </si>
  <si>
    <t>Paper Wastage %</t>
  </si>
  <si>
    <t>Bag Start Qty</t>
  </si>
  <si>
    <t>Bag end qty</t>
  </si>
  <si>
    <t>Validated Sum Print Cost</t>
  </si>
  <si>
    <t xml:space="preserve"> Recognised process color</t>
  </si>
  <si>
    <t>unit cost per process color</t>
  </si>
  <si>
    <t xml:space="preserve">Total Cost process </t>
  </si>
  <si>
    <t>Recognised spot colors</t>
  </si>
  <si>
    <t>unit cost/spot color</t>
  </si>
  <si>
    <t>Total cost spot</t>
  </si>
  <si>
    <t>recognised print qty</t>
  </si>
  <si>
    <t>1X1Y</t>
  </si>
  <si>
    <t>1X</t>
  </si>
  <si>
    <t>1Y</t>
  </si>
  <si>
    <t>TRUE/FALSE</t>
  </si>
  <si>
    <t>OS/0.5+0.5 UP</t>
  </si>
  <si>
    <t>Bag made</t>
  </si>
  <si>
    <t>0.5X2Y</t>
  </si>
  <si>
    <t>0.5X</t>
  </si>
  <si>
    <t>2Y/T1+B1</t>
  </si>
  <si>
    <t>Open Size /0.5 UP</t>
  </si>
  <si>
    <t>0.5X1Y</t>
  </si>
  <si>
    <t xml:space="preserve">OS/Rare 2 UP </t>
  </si>
  <si>
    <t>1X2Y</t>
  </si>
  <si>
    <t>2Y</t>
  </si>
  <si>
    <t>Paper Type</t>
  </si>
  <si>
    <t>gsm in kg</t>
  </si>
  <si>
    <t>price/kg/RM</t>
  </si>
  <si>
    <t>Brown Kraft 100</t>
  </si>
  <si>
    <t>Plain 0c x 0c</t>
  </si>
  <si>
    <t>Bown Kraft 120</t>
  </si>
  <si>
    <t>Brown Kraft 140</t>
  </si>
  <si>
    <t>1 spot up to 33%</t>
  </si>
  <si>
    <t>Brown Kraft 170</t>
  </si>
  <si>
    <t>1 spot up to 67%</t>
  </si>
  <si>
    <t>White Kraft 100</t>
  </si>
  <si>
    <t>1 spot up to 100%</t>
  </si>
  <si>
    <t>2 spot up to 33%</t>
  </si>
  <si>
    <t>White Kraft 150</t>
  </si>
  <si>
    <t>2 spot up to 67%</t>
  </si>
  <si>
    <t>White Kraft 180</t>
  </si>
  <si>
    <t>2 spot up to 100%</t>
  </si>
  <si>
    <t>Art Paper 157</t>
  </si>
  <si>
    <t>3 spot up to 33%</t>
  </si>
  <si>
    <t>Art Card 190</t>
  </si>
  <si>
    <t>3 spot up to 67%</t>
  </si>
  <si>
    <t>Art Card 210 gsm</t>
  </si>
  <si>
    <t>3 spot up to 100%</t>
  </si>
  <si>
    <t>Art Card 230</t>
  </si>
  <si>
    <t>5c=process 4cx0c+1c spot 33%</t>
  </si>
  <si>
    <t>Sack Kraft 100</t>
  </si>
  <si>
    <t>6c=process 4cx0c+2c spot 33%</t>
  </si>
  <si>
    <t>P2;Printing Cost</t>
  </si>
  <si>
    <t>Quotation Generator Costing Parameter-P2 = Printing Cost</t>
  </si>
  <si>
    <t>Print Option</t>
  </si>
  <si>
    <t>Actual Qty Print</t>
  </si>
  <si>
    <t>Total print Cost</t>
  </si>
  <si>
    <t>Average P2 Cost</t>
  </si>
  <si>
    <t>P3 - Print Plate Cost</t>
  </si>
  <si>
    <t>Quotation Generator Costing Parameter-P3 = Printing Plates Cost</t>
  </si>
  <si>
    <t>Average P3 Cost</t>
  </si>
  <si>
    <t>Total plate Cost</t>
  </si>
  <si>
    <t>P3:Print Plate Cost</t>
  </si>
  <si>
    <t>P4 - Printing INK Cost</t>
  </si>
  <si>
    <t>Plain no printing *</t>
  </si>
  <si>
    <r>
      <rPr>
        <b/>
        <sz val="11"/>
        <color theme="1"/>
        <rFont val="Calibri"/>
        <family val="2"/>
        <scheme val="minor"/>
      </rPr>
      <t>Note for P4</t>
    </r>
    <r>
      <rPr>
        <sz val="11"/>
        <color theme="1"/>
        <rFont val="Calibri"/>
        <family val="2"/>
        <scheme val="minor"/>
      </rPr>
      <t xml:space="preserve"> : On internet webform,to establish selection according most common ranking ; P177 :P189,from palin 0c x 0c to 6c=4cx0c+2c spot up to 33%</t>
    </r>
  </si>
  <si>
    <t>Quotation Generator Costing Parameter-P4 = Printing INK Cost</t>
  </si>
  <si>
    <t>Mettalic Ink *</t>
  </si>
  <si>
    <t>Percentage % Coverage / S</t>
  </si>
  <si>
    <t>Per kg cost validated / V/Normal or Metallic</t>
  </si>
  <si>
    <t>Ink weight used / kg</t>
  </si>
  <si>
    <t xml:space="preserve">Round up ink weight </t>
  </si>
  <si>
    <t xml:space="preserve">Total ink Cost </t>
  </si>
  <si>
    <t>Average P4 Cost</t>
  </si>
  <si>
    <t>P4:Printing Coverage %-Hm</t>
  </si>
  <si>
    <t>P4: INK per kg/Non Metallic / RM=Hn</t>
  </si>
  <si>
    <t>P4: INK per kg/  Metallic / RM=Hn</t>
  </si>
  <si>
    <t>Ink weight validated</t>
  </si>
  <si>
    <t>Percentage % Coverage</t>
  </si>
  <si>
    <t>Total ink cost</t>
  </si>
  <si>
    <t>P5 -Waterbase Varnish Costing</t>
  </si>
  <si>
    <r>
      <rPr>
        <b/>
        <sz val="11"/>
        <color theme="1"/>
        <rFont val="Calibri"/>
        <family val="2"/>
        <scheme val="minor"/>
      </rPr>
      <t>Note for P5</t>
    </r>
    <r>
      <rPr>
        <sz val="11"/>
        <color theme="1"/>
        <rFont val="Calibri"/>
        <family val="2"/>
        <scheme val="minor"/>
      </rPr>
      <t xml:space="preserve"> : On internet webform,to establish selection according most common ranking ; N205 :N207,from Plain no protection,OPV and Waterbase-WB*</t>
    </r>
  </si>
  <si>
    <t>Quotation Generator Costing Parameter-P5 = Protection Varnish Cost</t>
  </si>
  <si>
    <t xml:space="preserve">OPV </t>
  </si>
  <si>
    <t xml:space="preserve">Waterbase -WB </t>
  </si>
  <si>
    <t>OPV</t>
  </si>
  <si>
    <t>Waterbase-WB</t>
  </si>
  <si>
    <t>Protection Varnish Type</t>
  </si>
  <si>
    <t>Impression cost+ OPV R.Mat Cost</t>
  </si>
  <si>
    <t>WB cost by OS-Enviro</t>
  </si>
  <si>
    <t>Actual Total Cost/Average</t>
  </si>
  <si>
    <t>Average P5 Cost</t>
  </si>
  <si>
    <t xml:space="preserve">Validate </t>
  </si>
  <si>
    <t>P6-Lamination Costing Analysis</t>
  </si>
  <si>
    <r>
      <rPr>
        <b/>
        <sz val="11"/>
        <color theme="1"/>
        <rFont val="Calibri"/>
        <family val="2"/>
        <scheme val="minor"/>
      </rPr>
      <t>Note for P6</t>
    </r>
    <r>
      <rPr>
        <sz val="11"/>
        <color theme="1"/>
        <rFont val="Calibri"/>
        <family val="2"/>
        <scheme val="minor"/>
      </rPr>
      <t xml:space="preserve"> : On internet webform,to establish selection according most common ranking ; N246 :N248,from Plain without Lamination,Gloss Lamination and Matt Lamination*</t>
    </r>
  </si>
  <si>
    <t>Quotation Generator Costing Parameter-P6 = Lamination Cost</t>
  </si>
  <si>
    <t>Gloss Lamination</t>
  </si>
  <si>
    <t>Matt Lamination</t>
  </si>
  <si>
    <t>Glossy Lamination</t>
  </si>
  <si>
    <t>P6 Sum Start Cost</t>
  </si>
  <si>
    <t>P6 Sum End Cost</t>
  </si>
  <si>
    <t>Multiple Rate</t>
  </si>
  <si>
    <t>Lamination Type</t>
  </si>
  <si>
    <t>Breakdown P6 Cost before discount validation</t>
  </si>
  <si>
    <t>Quantity discount P6 Cost after validation</t>
  </si>
  <si>
    <t>P7-Spot UV-Costing Analysis</t>
  </si>
  <si>
    <t>Spot UV Process</t>
  </si>
  <si>
    <r>
      <rPr>
        <b/>
        <sz val="11"/>
        <color theme="1"/>
        <rFont val="Calibri"/>
        <family val="2"/>
        <scheme val="minor"/>
      </rPr>
      <t>Note for P7</t>
    </r>
    <r>
      <rPr>
        <sz val="11"/>
        <color theme="1"/>
        <rFont val="Calibri"/>
        <family val="2"/>
        <scheme val="minor"/>
      </rPr>
      <t xml:space="preserve"> : On internet webform,to establish selection Spot UV : N288 ="Yes" and N289= "No"</t>
    </r>
  </si>
  <si>
    <t>Quotation Generator Costing Parameter-P7 = Spot UV Cost</t>
  </si>
  <si>
    <t>Yes</t>
  </si>
  <si>
    <t>P7 Sum Start Cost</t>
  </si>
  <si>
    <t>P7 Sum End Cost</t>
  </si>
  <si>
    <t>Spot UV</t>
  </si>
  <si>
    <t>Breakdown P7 Cost before discount validation</t>
  </si>
  <si>
    <t>Quantity discount P7 Cost after validation</t>
  </si>
  <si>
    <t>P8-Stamping-Costing Analysis</t>
  </si>
  <si>
    <t xml:space="preserve">Stamping Involved </t>
  </si>
  <si>
    <t xml:space="preserve">Type of </t>
  </si>
  <si>
    <t>Per Square inch</t>
  </si>
  <si>
    <t>foil</t>
  </si>
  <si>
    <t>default for 5k pcs</t>
  </si>
  <si>
    <t>Gold</t>
  </si>
  <si>
    <t>Up Charge</t>
  </si>
  <si>
    <t>Matt Gold</t>
  </si>
  <si>
    <t xml:space="preserve">Discount </t>
  </si>
  <si>
    <t>Silver</t>
  </si>
  <si>
    <t>Multiple</t>
  </si>
  <si>
    <t>Matt Silver</t>
  </si>
  <si>
    <t>Copper</t>
  </si>
  <si>
    <t>Black</t>
  </si>
  <si>
    <t>Red</t>
  </si>
  <si>
    <t>Blue</t>
  </si>
  <si>
    <t>Maroon</t>
  </si>
  <si>
    <t xml:space="preserve"> special color</t>
  </si>
  <si>
    <t>White</t>
  </si>
  <si>
    <t>Rainbow</t>
  </si>
  <si>
    <t>MLM's</t>
  </si>
  <si>
    <t>First Pair</t>
  </si>
  <si>
    <t>H1W1/mm</t>
  </si>
  <si>
    <t>Paper Bag</t>
  </si>
  <si>
    <t>2nd Pair</t>
  </si>
  <si>
    <t>H2W2/mm</t>
  </si>
  <si>
    <t>Stamping</t>
  </si>
  <si>
    <t>3rd Pair</t>
  </si>
  <si>
    <t>H3W3/mm</t>
  </si>
  <si>
    <t>Per square inch/RM</t>
  </si>
  <si>
    <t>First pair cost</t>
  </si>
  <si>
    <t>Uzzal 1st pair UP gold &amp; silver</t>
  </si>
  <si>
    <t>min UNIT PRICE other color</t>
  </si>
  <si>
    <t>min UNIT PRICE special color</t>
  </si>
  <si>
    <t>min UNIT PRICE White&amp;Rainbow</t>
  </si>
  <si>
    <t xml:space="preserve">Quantity </t>
  </si>
  <si>
    <t>price</t>
  </si>
  <si>
    <t>Logo Size in mm</t>
  </si>
  <si>
    <t>Conversion To inch</t>
  </si>
  <si>
    <t>Beginning</t>
  </si>
  <si>
    <t>End</t>
  </si>
  <si>
    <t>H1</t>
  </si>
  <si>
    <t>W1</t>
  </si>
  <si>
    <t>Unit cost</t>
  </si>
  <si>
    <t xml:space="preserve">Bag size </t>
  </si>
  <si>
    <t>2nd Pair pair cost</t>
  </si>
  <si>
    <t>min for gold and silver foil</t>
  </si>
  <si>
    <t>min for other color</t>
  </si>
  <si>
    <t>Min for Rainbow and White Foil</t>
  </si>
  <si>
    <t>Size in mm</t>
  </si>
  <si>
    <t>Open Size DIY Mylar in house</t>
  </si>
  <si>
    <t>H2</t>
  </si>
  <si>
    <t>W2</t>
  </si>
  <si>
    <t>1st Pair Total</t>
  </si>
  <si>
    <t>Uzzal 1st pair MIN total</t>
  </si>
  <si>
    <t>Recognize Total</t>
  </si>
  <si>
    <t>Sum Stamping Cost</t>
  </si>
  <si>
    <t>Block  1st pair</t>
  </si>
  <si>
    <t>Stampin+Block+Mylar</t>
  </si>
  <si>
    <t>Square cm</t>
  </si>
  <si>
    <t>1 pair= 2pc/cm2 price/RM 0.25</t>
  </si>
  <si>
    <t>MIN 30</t>
  </si>
  <si>
    <t>Block charge</t>
  </si>
  <si>
    <t>Square inch</t>
  </si>
  <si>
    <t>DIY per in2 price</t>
  </si>
  <si>
    <t>Mylar charge</t>
  </si>
  <si>
    <t>A1458-Mylar charges to reset,if no stamping selected on H367,it should set to 0</t>
  </si>
  <si>
    <t>2nd Pair Total</t>
  </si>
  <si>
    <t>Uzzal 2nd pair MIN total</t>
  </si>
  <si>
    <t>Recgnize Total</t>
  </si>
  <si>
    <t>Block 2nd pair</t>
  </si>
  <si>
    <t>3rd Pair Total</t>
  </si>
  <si>
    <t>Uzzal 3rd pair MIN total</t>
  </si>
  <si>
    <t>3rd pair total</t>
  </si>
  <si>
    <t>Block 3rd pair</t>
  </si>
  <si>
    <t>H3</t>
  </si>
  <si>
    <t>W3</t>
  </si>
  <si>
    <t>3rd pair cost</t>
  </si>
  <si>
    <t>P9-Embossed-Costing Analysis</t>
  </si>
  <si>
    <t>Embossed Type</t>
  </si>
  <si>
    <t>3D Embossed</t>
  </si>
  <si>
    <t>Per piece Embossed  Impression cost</t>
  </si>
  <si>
    <t>Flat Cost/Minimum Cost</t>
  </si>
  <si>
    <t>Conversion To cm</t>
  </si>
  <si>
    <t>Normal Embossed block set cost/0.35CM2</t>
  </si>
  <si>
    <t>3D Embossed block set cost</t>
  </si>
  <si>
    <t>By Impression Cost</t>
  </si>
  <si>
    <t>By Flat Rat  / Minimum Cost</t>
  </si>
  <si>
    <t>Sum Embossed + Block Cost</t>
  </si>
  <si>
    <t>P10 : Texture Embossed Cost</t>
  </si>
  <si>
    <t>Quotation Generator Costing Parameter-P10 = Texture Embossed Cost</t>
  </si>
  <si>
    <t>Normal Textured</t>
  </si>
  <si>
    <t>Textured Type</t>
  </si>
  <si>
    <t>Custom Textured</t>
  </si>
  <si>
    <t>Textured Embossed Option</t>
  </si>
  <si>
    <t>Actual Qty Textured</t>
  </si>
  <si>
    <t>Calculation by tier</t>
  </si>
  <si>
    <t>Total Textured  Cost</t>
  </si>
  <si>
    <t xml:space="preserve">Start qty </t>
  </si>
  <si>
    <t xml:space="preserve">end qty </t>
  </si>
  <si>
    <t>Recognised total cost /Multiply Qty*unit cost</t>
  </si>
  <si>
    <t>Base Unit_Rate</t>
  </si>
  <si>
    <t>discount multiple</t>
  </si>
  <si>
    <t>Average P10 Cost</t>
  </si>
  <si>
    <t>P11 : Die Cut Cost</t>
  </si>
  <si>
    <t>Quotation Generator Costing Parameter-P11 = Die Cut Cost</t>
  </si>
  <si>
    <t>Actual Qty Die Cut</t>
  </si>
  <si>
    <t>Total Die Cut  Cost</t>
  </si>
  <si>
    <t>Average P11 Cost</t>
  </si>
  <si>
    <t>P12 : Die Cut Moulding cost</t>
  </si>
  <si>
    <t>Quotation Generator Costing Parameter-P12 = Die Cut Moulding Cost</t>
  </si>
  <si>
    <t>6Y</t>
  </si>
  <si>
    <t>3X</t>
  </si>
  <si>
    <r>
      <rPr>
        <b/>
        <sz val="11"/>
        <color rgb="FF0070C0"/>
        <rFont val="Calibri"/>
        <family val="2"/>
        <scheme val="minor"/>
      </rPr>
      <t>Kentway</t>
    </r>
    <r>
      <rPr>
        <sz val="11"/>
        <color theme="1"/>
        <rFont val="Calibri"/>
        <family val="2"/>
        <scheme val="minor"/>
      </rPr>
      <t xml:space="preserve"> PB Crease line metal cost/m/RM 30</t>
    </r>
  </si>
  <si>
    <r>
      <rPr>
        <b/>
        <sz val="11"/>
        <color rgb="FF0070C0"/>
        <rFont val="Calibri"/>
        <family val="2"/>
        <scheme val="minor"/>
      </rPr>
      <t>Kentway</t>
    </r>
    <r>
      <rPr>
        <sz val="11"/>
        <color theme="1"/>
        <rFont val="Calibri"/>
        <family val="2"/>
        <scheme val="minor"/>
      </rPr>
      <t xml:space="preserve"> Plywood 18mm/RM100 per m2</t>
    </r>
  </si>
  <si>
    <t>Total Crease+Plywood</t>
  </si>
  <si>
    <r>
      <t>Average Cost P12-</t>
    </r>
    <r>
      <rPr>
        <b/>
        <sz val="10"/>
        <color rgb="FF0070C0"/>
        <rFont val="Calibri"/>
        <family val="2"/>
        <scheme val="minor"/>
      </rPr>
      <t>DC Mould</t>
    </r>
  </si>
  <si>
    <t>3Y</t>
  </si>
  <si>
    <t>12Y</t>
  </si>
  <si>
    <t>6X</t>
  </si>
  <si>
    <t>Round PP 2 x 16" x 5mm</t>
  </si>
  <si>
    <t>450 Duplex BB</t>
  </si>
  <si>
    <t>0.11 x (0.09 + 0.07) x 0.45 x 3.2 + 10% = 0.03</t>
  </si>
  <si>
    <t>Offset Wine PB/390 x 110 x 90mm (H x W x G)/190AC/4C process/ML/450EB &amp; BB/PP 16"/1K/EX-KL</t>
  </si>
  <si>
    <t>Bbox Mark Sdn Bhd</t>
  </si>
  <si>
    <t>Existing Shophouse moulding</t>
  </si>
  <si>
    <t># 8688 Custom Print Wine Paper Bag</t>
  </si>
  <si>
    <t xml:space="preserve">Size : 390 x 110 x 100 mm </t>
  </si>
  <si>
    <t>( Height x Width x Gusset) + Turn Over Top 40 mm.</t>
  </si>
  <si>
    <t>Adjusted size little to existing mould size</t>
  </si>
  <si>
    <t xml:space="preserve"> Material : Art Card 190 gsm.</t>
  </si>
  <si>
    <t xml:space="preserve">Printing : 4 color process. </t>
  </si>
  <si>
    <t xml:space="preserve">Finishing : Matt lamination on external full area. </t>
  </si>
  <si>
    <t>Handle : PP tipping 2 x 30cm.</t>
  </si>
  <si>
    <t>Reinforced top &amp; base board with 450 gsm card board-Sistain up to 3kg</t>
  </si>
  <si>
    <t xml:space="preserve">Door to door price delivered with Klang Valley /RM </t>
  </si>
  <si>
    <t>1000 pcs @ RM 2.45/pc + ST10%*</t>
  </si>
  <si>
    <t>2000 pcs @ RM 1.68/pc+ ST10%*</t>
  </si>
  <si>
    <t xml:space="preserve">3000  pcs @ RM 1.45/pc +ST10% </t>
  </si>
  <si>
    <t xml:space="preserve">4000 pcs @ RM 1.35/pc + ST10% </t>
  </si>
  <si>
    <t>Paper Bag is under HS Code 481940.0000, it is taxable 10% under SST Act 2018, Waiver could be do e by presenting Exemption Certificate prior to the order</t>
  </si>
  <si>
    <t>Packing : 100 pcs per packet.</t>
  </si>
  <si>
    <t>Lead time : 2-3</t>
  </si>
  <si>
    <t xml:space="preserve">Weeks. </t>
  </si>
  <si>
    <t xml:space="preserve">Terms of payment : First time customer &amp; order value below RM 3000, full paymemt to MLM Packaging Sdn Bhd, Maybank account no : 562666059169. Order value above RM 3000, to 50% deposit  + balance in COD </t>
  </si>
  <si>
    <t>Optional sample changes:  Plain sample : 2 pcs @ FOC  Digital sample mock up @ 2 pcs @ RM 120 + ST10%   Actual Pre-production sample @ 3 pcs : RM 550 + ST10% .</t>
  </si>
  <si>
    <t>Every order are encouraged with pre-production sample for signed off, before mass production.  Company sample waiver policy apply under this clause ;   Mock up sample waiver policy :  Mock up charges/PO value &gt;=3% of PO value, no waiver;   &lt;3%, 100% full  waiver, subject to no changes in artwork. The decision to place order must be within 30 days from sample mock up presented date.   If  full waiver mock up charges apply, mock up fee still need to pay in advance.   Full waiver on mock up fee will implement by issue CN as discount on actual Tax Invoice, on the completion of PO.</t>
  </si>
  <si>
    <t>Attn Max &amp; Echo</t>
  </si>
  <si>
    <t>To Adjust FORMULA F40-G43,F49-G52,,F58-G61,,F67-G70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</si>
</sst>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
    <numFmt numFmtId="165" formatCode="0.0%"/>
    <numFmt numFmtId="166" formatCode="_(* #,##0_);_(* \(#,##0\);_(* &quot;-&quot;??_);_(@_)"/>
    <numFmt numFmtId="167" formatCode="_(* #,##0.000_);_(* \(#,##0.000\);_(* &quot;-&quot;??_);_(@_)"/>
    <numFmt numFmtId="168" formatCode="#,##0.0"/>
    <numFmt numFmtId="169" formatCode="_(* #,##0.0000_);_(* \(#,##0.0000\);_(* &quot;-&quot;??_);_(@_)"/>
  </numFmts>
  <fonts count="4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10"/>
      <color rgb="FF0070C0"/>
      <name val="Calibri"/>
      <family val="2"/>
      <scheme val="minor"/>
    </font>
    <font>
      <b/>
      <sz val="11"/>
      <color rgb="FF0070C0"/>
      <name val="Calibri"/>
      <family val="2"/>
      <scheme val="minor"/>
    </font>
    <font>
      <b/>
      <sz val="11"/>
      <color rgb="FFFF0000"/>
      <name val="Calibri"/>
      <family val="2"/>
      <scheme val="minor"/>
    </font>
    <font>
      <sz val="10"/>
      <color theme="1"/>
      <name val="Calibri"/>
      <family val="2"/>
      <scheme val="minor"/>
    </font>
    <font>
      <sz val="8"/>
      <color theme="1"/>
      <name val="Calibri"/>
      <family val="2"/>
      <scheme val="minor"/>
    </font>
    <font>
      <b/>
      <sz val="9"/>
      <color theme="1"/>
      <name val="Calibri"/>
      <family val="2"/>
      <scheme val="minor"/>
    </font>
    <font>
      <b/>
      <sz val="12"/>
      <color rgb="FF0070C0"/>
      <name val="Calibri"/>
      <family val="2"/>
      <scheme val="minor"/>
    </font>
    <font>
      <b/>
      <sz val="10"/>
      <color indexed="81"/>
      <name val="Tahoma"/>
      <family val="2"/>
    </font>
    <font>
      <sz val="10"/>
      <color indexed="81"/>
      <name val="Tahoma"/>
      <family val="2"/>
    </font>
    <font>
      <b/>
      <sz val="9"/>
      <color indexed="81"/>
      <name val="Tahoma"/>
      <family val="2"/>
    </font>
    <font>
      <sz val="9"/>
      <color indexed="81"/>
      <name val="Tahoma"/>
      <family val="2"/>
    </font>
    <font>
      <b/>
      <sz val="10"/>
      <color theme="9" tint="-0.249977111117893"/>
      <name val="Calibri"/>
      <family val="2"/>
      <scheme val="minor"/>
    </font>
    <font>
      <b/>
      <sz val="11"/>
      <color theme="9" tint="-0.249977111117893"/>
      <name val="Calibri"/>
      <family val="2"/>
      <scheme val="minor"/>
    </font>
    <font>
      <b/>
      <sz val="11"/>
      <color theme="2"/>
      <name val="Calibri"/>
      <family val="2"/>
      <scheme val="minor"/>
    </font>
    <font>
      <b/>
      <sz val="10"/>
      <color theme="1"/>
      <name val="Calibri"/>
      <family val="2"/>
      <scheme val="minor"/>
    </font>
    <font>
      <sz val="8"/>
      <color theme="1"/>
      <name val="Calibri"/>
      <family val="2"/>
    </font>
    <font>
      <sz val="8"/>
      <color theme="1"/>
      <name val="Wingdings 3"/>
      <family val="1"/>
      <charset val="2"/>
    </font>
    <font>
      <sz val="11"/>
      <color theme="1"/>
      <name val="Calibri"/>
      <family val="2"/>
    </font>
    <font>
      <sz val="9"/>
      <color theme="1"/>
      <name val="Aptos Narrow"/>
      <family val="2"/>
    </font>
    <font>
      <sz val="8"/>
      <color rgb="FF0070C0"/>
      <name val="Calibri"/>
      <family val="2"/>
      <scheme val="minor"/>
    </font>
    <font>
      <b/>
      <sz val="9"/>
      <color rgb="FF0070C0"/>
      <name val="Calibri"/>
      <family val="2"/>
      <scheme val="minor"/>
    </font>
    <font>
      <b/>
      <sz val="11"/>
      <color rgb="FF000000"/>
      <name val="Calibri"/>
      <family val="2"/>
    </font>
    <font>
      <b/>
      <sz val="14"/>
      <color theme="1"/>
      <name val="Calibri"/>
      <family val="2"/>
      <scheme val="minor"/>
    </font>
    <font>
      <sz val="16"/>
      <color theme="1"/>
      <name val="Calibri"/>
      <family val="2"/>
      <scheme val="minor"/>
    </font>
    <font>
      <sz val="11"/>
      <color rgb="FF0070C0"/>
      <name val="Calibri"/>
      <family val="2"/>
    </font>
    <font>
      <sz val="11"/>
      <color theme="0"/>
      <name val="Calibri"/>
      <family val="2"/>
    </font>
    <font>
      <sz val="11"/>
      <color rgb="FFFF0000"/>
      <name val="Calibri"/>
      <family val="2"/>
    </font>
    <font>
      <b/>
      <sz val="11"/>
      <color theme="1"/>
      <name val="Calibri"/>
      <family val="2"/>
    </font>
    <font>
      <sz val="11"/>
      <color rgb="FF00B050"/>
      <name val="Calibri"/>
      <family val="2"/>
      <scheme val="minor"/>
    </font>
    <font>
      <sz val="11"/>
      <color theme="2"/>
      <name val="Calibri"/>
      <family val="2"/>
    </font>
    <font>
      <sz val="11"/>
      <color theme="2"/>
      <name val="Calibri"/>
      <family val="2"/>
      <scheme val="minor"/>
    </font>
    <font>
      <b/>
      <sz val="14"/>
      <color theme="2"/>
      <name val="Calibri"/>
      <family val="2"/>
      <scheme val="minor"/>
    </font>
    <font>
      <sz val="10"/>
      <color theme="1"/>
      <name val="Calibri"/>
      <family val="2"/>
    </font>
    <font>
      <b/>
      <sz val="11"/>
      <color rgb="FF388600"/>
      <name val="Calibri"/>
      <family val="2"/>
      <scheme val="minor"/>
    </font>
    <font>
      <b/>
      <sz val="11"/>
      <color rgb="FF007BB8"/>
      <name val="Calibri"/>
      <family val="2"/>
      <scheme val="minor"/>
    </font>
    <font>
      <b/>
      <sz val="11"/>
      <color rgb="FF004E9A"/>
      <name val="Calibri"/>
      <family val="2"/>
      <scheme val="minor"/>
    </font>
    <font>
      <b/>
      <sz val="9"/>
      <name val="Calibri"/>
      <family val="2"/>
      <scheme val="minor"/>
    </font>
    <font>
      <sz val="11"/>
      <color rgb="FF0070C0"/>
      <name val="Calibri"/>
      <family val="2"/>
      <scheme val="minor"/>
    </font>
    <font>
      <b/>
      <sz val="18"/>
      <color theme="1"/>
      <name val="Calibri"/>
      <family val="2"/>
      <scheme val="minor"/>
    </font>
    <font>
      <b/>
      <sz val="14"/>
      <color rgb="FF0070C0"/>
      <name val="Calibri"/>
      <family val="2"/>
      <scheme val="minor"/>
    </font>
  </fonts>
  <fills count="27">
    <fill>
      <patternFill patternType="none"/>
    </fill>
    <fill>
      <patternFill patternType="gray125"/>
    </fill>
    <fill>
      <patternFill patternType="solid">
        <fgColor theme="8" tint="0.39997558519241921"/>
        <bgColor indexed="64"/>
      </patternFill>
    </fill>
    <fill>
      <patternFill patternType="solid">
        <fgColor theme="0"/>
        <bgColor indexed="64"/>
      </patternFill>
    </fill>
    <fill>
      <patternFill patternType="solid">
        <fgColor rgb="FFFFFF0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0" tint="-4.9989318521683403E-2"/>
        <bgColor indexed="64"/>
      </patternFill>
    </fill>
    <fill>
      <patternFill patternType="solid">
        <fgColor rgb="FF0070C0"/>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rgb="FF00B050"/>
        <bgColor indexed="64"/>
      </patternFill>
    </fill>
    <fill>
      <patternFill patternType="solid">
        <fgColor theme="4"/>
        <bgColor indexed="64"/>
      </patternFill>
    </fill>
    <fill>
      <patternFill patternType="solid">
        <fgColor theme="5" tint="0.59999389629810485"/>
        <bgColor indexed="64"/>
      </patternFill>
    </fill>
    <fill>
      <patternFill patternType="solid">
        <fgColor rgb="FFFFFFFF"/>
        <bgColor rgb="FF000000"/>
      </patternFill>
    </fill>
    <fill>
      <patternFill patternType="solid">
        <fgColor rgb="FFF2F2F2"/>
        <bgColor rgb="FF000000"/>
      </patternFill>
    </fill>
    <fill>
      <patternFill patternType="solid">
        <fgColor theme="8" tint="-0.249977111117893"/>
        <bgColor indexed="64"/>
      </patternFill>
    </fill>
    <fill>
      <patternFill patternType="solid">
        <fgColor rgb="FFC6E0B4"/>
        <bgColor rgb="FF000000"/>
      </patternFill>
    </fill>
    <fill>
      <patternFill patternType="solid">
        <fgColor theme="7"/>
        <bgColor indexed="64"/>
      </patternFill>
    </fill>
    <fill>
      <patternFill patternType="solid">
        <fgColor theme="2"/>
        <bgColor indexed="64"/>
      </patternFill>
    </fill>
    <fill>
      <patternFill patternType="solid">
        <fgColor rgb="FFFFC000"/>
        <bgColor indexed="64"/>
      </patternFill>
    </fill>
    <fill>
      <patternFill patternType="solid">
        <fgColor rgb="FF227ACB"/>
        <bgColor indexed="64"/>
      </patternFill>
    </fill>
  </fills>
  <borders count="3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73">
    <xf numFmtId="0" fontId="0" fillId="0" borderId="0" xfId="0"/>
    <xf numFmtId="0" fontId="3" fillId="0" borderId="0" xfId="0" applyFont="1"/>
    <xf numFmtId="0" fontId="0" fillId="2" borderId="2" xfId="0" applyFill="1" applyBorder="1"/>
    <xf numFmtId="0" fontId="0" fillId="4" borderId="2" xfId="0" applyFill="1" applyBorder="1"/>
    <xf numFmtId="0" fontId="0" fillId="0" borderId="2" xfId="0" applyBorder="1"/>
    <xf numFmtId="0" fontId="2" fillId="0" borderId="2" xfId="0" applyFont="1" applyBorder="1"/>
    <xf numFmtId="0" fontId="0" fillId="0" borderId="14" xfId="0" applyBorder="1"/>
    <xf numFmtId="0" fontId="0" fillId="0" borderId="2" xfId="0" applyBorder="1" applyAlignment="1">
      <alignment horizontal="center"/>
    </xf>
    <xf numFmtId="0" fontId="3" fillId="0" borderId="2" xfId="0" applyFont="1" applyBorder="1" applyAlignment="1">
      <alignment horizontal="center"/>
    </xf>
    <xf numFmtId="166" fontId="0" fillId="0" borderId="2" xfId="1" applyNumberFormat="1" applyFont="1" applyBorder="1"/>
    <xf numFmtId="0" fontId="0" fillId="5" borderId="2" xfId="0" applyFill="1" applyBorder="1"/>
    <xf numFmtId="167" fontId="0" fillId="5" borderId="2" xfId="0" applyNumberFormat="1" applyFill="1" applyBorder="1"/>
    <xf numFmtId="0" fontId="5" fillId="0" borderId="2" xfId="0" applyFont="1" applyBorder="1"/>
    <xf numFmtId="1" fontId="0" fillId="0" borderId="2" xfId="0" applyNumberFormat="1" applyBorder="1"/>
    <xf numFmtId="1" fontId="0" fillId="5" borderId="2" xfId="0" applyNumberFormat="1" applyFill="1" applyBorder="1"/>
    <xf numFmtId="1" fontId="0" fillId="3" borderId="2" xfId="0" applyNumberFormat="1" applyFill="1" applyBorder="1"/>
    <xf numFmtId="0" fontId="0" fillId="0" borderId="3" xfId="0" applyBorder="1"/>
    <xf numFmtId="0" fontId="0" fillId="0" borderId="4" xfId="0" applyBorder="1"/>
    <xf numFmtId="0" fontId="0" fillId="0" borderId="16" xfId="0" applyBorder="1"/>
    <xf numFmtId="0" fontId="0" fillId="11" borderId="2" xfId="0" applyFill="1" applyBorder="1"/>
    <xf numFmtId="167" fontId="0" fillId="8" borderId="2" xfId="0" applyNumberFormat="1" applyFill="1" applyBorder="1"/>
    <xf numFmtId="1" fontId="0" fillId="11" borderId="2" xfId="0" applyNumberFormat="1" applyFill="1" applyBorder="1"/>
    <xf numFmtId="167" fontId="0" fillId="3" borderId="2" xfId="0" applyNumberFormat="1" applyFill="1" applyBorder="1"/>
    <xf numFmtId="0" fontId="0" fillId="14" borderId="2" xfId="0" applyFill="1" applyBorder="1"/>
    <xf numFmtId="0" fontId="0" fillId="3" borderId="0" xfId="0" applyFill="1"/>
    <xf numFmtId="0" fontId="0" fillId="0" borderId="0" xfId="0" applyAlignment="1">
      <alignment wrapText="1"/>
    </xf>
    <xf numFmtId="0" fontId="12" fillId="0" borderId="0" xfId="0" applyFont="1"/>
    <xf numFmtId="0" fontId="17" fillId="0" borderId="22" xfId="0" applyFont="1" applyBorder="1" applyAlignment="1">
      <alignment horizontal="center"/>
    </xf>
    <xf numFmtId="0" fontId="17" fillId="0" borderId="10" xfId="0" applyFont="1" applyBorder="1"/>
    <xf numFmtId="0" fontId="17" fillId="0" borderId="0" xfId="0" applyFont="1"/>
    <xf numFmtId="0" fontId="17" fillId="0" borderId="23" xfId="0" applyFont="1" applyBorder="1"/>
    <xf numFmtId="0" fontId="18" fillId="0" borderId="0" xfId="0" applyFont="1"/>
    <xf numFmtId="0" fontId="17" fillId="0" borderId="0" xfId="0" applyFont="1" applyAlignment="1">
      <alignment horizontal="center"/>
    </xf>
    <xf numFmtId="0" fontId="9" fillId="0" borderId="0" xfId="0" applyFont="1"/>
    <xf numFmtId="0" fontId="9" fillId="2" borderId="2" xfId="0" applyFont="1" applyFill="1" applyBorder="1"/>
    <xf numFmtId="0" fontId="9" fillId="14" borderId="2" xfId="0" applyFont="1" applyFill="1" applyBorder="1"/>
    <xf numFmtId="0" fontId="9" fillId="15" borderId="2" xfId="0" applyFont="1" applyFill="1" applyBorder="1"/>
    <xf numFmtId="0" fontId="9" fillId="5" borderId="2" xfId="0" applyFont="1" applyFill="1" applyBorder="1"/>
    <xf numFmtId="0" fontId="0" fillId="6" borderId="0" xfId="0" applyFill="1"/>
    <xf numFmtId="0" fontId="0" fillId="6" borderId="2" xfId="0" applyFill="1" applyBorder="1"/>
    <xf numFmtId="0" fontId="3" fillId="6" borderId="2" xfId="0" applyFont="1" applyFill="1" applyBorder="1" applyAlignment="1">
      <alignment horizontal="center"/>
    </xf>
    <xf numFmtId="0" fontId="0" fillId="0" borderId="0" xfId="0" applyAlignment="1">
      <alignment horizontal="right"/>
    </xf>
    <xf numFmtId="0" fontId="12" fillId="0" borderId="24" xfId="0" applyFont="1" applyBorder="1" applyAlignment="1">
      <alignment horizontal="center"/>
    </xf>
    <xf numFmtId="3" fontId="19" fillId="16" borderId="2" xfId="0" applyNumberFormat="1" applyFont="1" applyFill="1" applyBorder="1"/>
    <xf numFmtId="0" fontId="0" fillId="15" borderId="2" xfId="0" applyFill="1" applyBorder="1"/>
    <xf numFmtId="0" fontId="9" fillId="7" borderId="2" xfId="0" applyFont="1" applyFill="1" applyBorder="1"/>
    <xf numFmtId="0" fontId="20" fillId="7" borderId="2" xfId="0" applyFont="1" applyFill="1" applyBorder="1"/>
    <xf numFmtId="0" fontId="11" fillId="7" borderId="25" xfId="0" applyFont="1" applyFill="1" applyBorder="1"/>
    <xf numFmtId="0" fontId="21" fillId="7" borderId="2" xfId="0" applyFont="1" applyFill="1" applyBorder="1"/>
    <xf numFmtId="0" fontId="0" fillId="17" borderId="2" xfId="0" applyFill="1" applyBorder="1"/>
    <xf numFmtId="0" fontId="0" fillId="7" borderId="2" xfId="0" applyFill="1" applyBorder="1"/>
    <xf numFmtId="1" fontId="3" fillId="7" borderId="2" xfId="0" quotePrefix="1" applyNumberFormat="1" applyFont="1" applyFill="1" applyBorder="1"/>
    <xf numFmtId="1" fontId="3" fillId="7" borderId="2" xfId="0" applyNumberFormat="1" applyFont="1" applyFill="1" applyBorder="1"/>
    <xf numFmtId="0" fontId="0" fillId="7" borderId="0" xfId="0" applyFill="1"/>
    <xf numFmtId="0" fontId="9" fillId="0" borderId="2" xfId="0" applyFont="1" applyBorder="1"/>
    <xf numFmtId="0" fontId="10" fillId="0" borderId="0" xfId="0" applyFont="1"/>
    <xf numFmtId="0" fontId="11" fillId="0" borderId="2" xfId="0" applyFont="1" applyBorder="1"/>
    <xf numFmtId="0" fontId="22" fillId="0" borderId="2" xfId="0" applyFont="1" applyBorder="1"/>
    <xf numFmtId="0" fontId="0" fillId="18" borderId="2" xfId="0" applyFill="1" applyBorder="1"/>
    <xf numFmtId="1" fontId="3" fillId="5" borderId="2" xfId="0" applyNumberFormat="1" applyFont="1" applyFill="1" applyBorder="1"/>
    <xf numFmtId="0" fontId="10" fillId="18" borderId="0" xfId="0" applyFont="1" applyFill="1"/>
    <xf numFmtId="1" fontId="23" fillId="19" borderId="2" xfId="0" applyNumberFormat="1" applyFont="1" applyFill="1" applyBorder="1"/>
    <xf numFmtId="0" fontId="10" fillId="18" borderId="2" xfId="0" applyFont="1" applyFill="1" applyBorder="1"/>
    <xf numFmtId="0" fontId="5" fillId="18" borderId="0" xfId="0" applyFont="1" applyFill="1" applyAlignment="1">
      <alignment horizontal="center"/>
    </xf>
    <xf numFmtId="1" fontId="23" fillId="20" borderId="2" xfId="0" applyNumberFormat="1" applyFont="1" applyFill="1" applyBorder="1"/>
    <xf numFmtId="0" fontId="25" fillId="8" borderId="0" xfId="0" applyFont="1" applyFill="1"/>
    <xf numFmtId="0" fontId="26" fillId="6" borderId="2" xfId="0" applyFont="1" applyFill="1" applyBorder="1"/>
    <xf numFmtId="1" fontId="7" fillId="6" borderId="2" xfId="0" applyNumberFormat="1" applyFont="1" applyFill="1" applyBorder="1"/>
    <xf numFmtId="0" fontId="25" fillId="6" borderId="14" xfId="0" applyFont="1" applyFill="1" applyBorder="1"/>
    <xf numFmtId="1" fontId="23" fillId="0" borderId="2" xfId="0" applyNumberFormat="1" applyFont="1" applyBorder="1"/>
    <xf numFmtId="0" fontId="25" fillId="6" borderId="2" xfId="0" applyFont="1" applyFill="1" applyBorder="1" applyAlignment="1">
      <alignment horizontal="center"/>
    </xf>
    <xf numFmtId="0" fontId="25" fillId="6" borderId="2" xfId="0" applyFont="1" applyFill="1" applyBorder="1"/>
    <xf numFmtId="166" fontId="0" fillId="0" borderId="2" xfId="0" applyNumberFormat="1" applyBorder="1"/>
    <xf numFmtId="0" fontId="0" fillId="21" borderId="2" xfId="0" applyFill="1" applyBorder="1"/>
    <xf numFmtId="0" fontId="3" fillId="5" borderId="2" xfId="0" applyFont="1" applyFill="1" applyBorder="1"/>
    <xf numFmtId="0" fontId="27" fillId="22" borderId="2" xfId="0" applyFont="1" applyFill="1" applyBorder="1"/>
    <xf numFmtId="0" fontId="7" fillId="11" borderId="2" xfId="0" applyFont="1" applyFill="1" applyBorder="1"/>
    <xf numFmtId="164" fontId="7" fillId="11" borderId="2" xfId="0" applyNumberFormat="1" applyFont="1" applyFill="1" applyBorder="1"/>
    <xf numFmtId="2" fontId="0" fillId="3" borderId="2" xfId="0" applyNumberFormat="1" applyFill="1" applyBorder="1"/>
    <xf numFmtId="164" fontId="0" fillId="0" borderId="2" xfId="0" applyNumberFormat="1" applyBorder="1"/>
    <xf numFmtId="0" fontId="0" fillId="23" borderId="0" xfId="0" applyFill="1"/>
    <xf numFmtId="0" fontId="28" fillId="3" borderId="0" xfId="0" applyFont="1" applyFill="1"/>
    <xf numFmtId="0" fontId="23" fillId="0" borderId="0" xfId="0" applyFont="1"/>
    <xf numFmtId="0" fontId="23" fillId="0" borderId="2" xfId="0" applyFont="1" applyBorder="1"/>
    <xf numFmtId="2" fontId="23" fillId="0" borderId="2" xfId="0" applyNumberFormat="1" applyFont="1" applyBorder="1"/>
    <xf numFmtId="0" fontId="23" fillId="0" borderId="14" xfId="0" applyFont="1" applyBorder="1"/>
    <xf numFmtId="0" fontId="23" fillId="0" borderId="2" xfId="0" applyFont="1" applyBorder="1" applyAlignment="1">
      <alignment horizontal="center"/>
    </xf>
    <xf numFmtId="0" fontId="5" fillId="0" borderId="2" xfId="0" applyFont="1" applyBorder="1" applyAlignment="1">
      <alignment horizontal="center" wrapText="1"/>
    </xf>
    <xf numFmtId="0" fontId="0" fillId="0" borderId="2" xfId="0" applyBorder="1" applyAlignment="1">
      <alignment horizontal="center" vertical="center" wrapText="1"/>
    </xf>
    <xf numFmtId="0" fontId="10" fillId="0" borderId="3" xfId="0" applyFont="1" applyBorder="1" applyAlignment="1">
      <alignment horizontal="center" wrapText="1"/>
    </xf>
    <xf numFmtId="0" fontId="20" fillId="5" borderId="24" xfId="0" applyFont="1" applyFill="1" applyBorder="1" applyAlignment="1">
      <alignment horizontal="center" wrapText="1"/>
    </xf>
    <xf numFmtId="0" fontId="0" fillId="14" borderId="2" xfId="0" applyFill="1" applyBorder="1" applyAlignment="1">
      <alignment horizontal="center" wrapText="1"/>
    </xf>
    <xf numFmtId="0" fontId="0" fillId="4" borderId="2" xfId="0" applyFill="1" applyBorder="1" applyAlignment="1">
      <alignment horizontal="center" wrapText="1"/>
    </xf>
    <xf numFmtId="0" fontId="0" fillId="0" borderId="2" xfId="0" applyBorder="1" applyAlignment="1">
      <alignment horizontal="center" wrapText="1"/>
    </xf>
    <xf numFmtId="0" fontId="10" fillId="0" borderId="2" xfId="0" applyFont="1" applyBorder="1" applyAlignment="1">
      <alignment horizontal="center" vertical="center" wrapText="1"/>
    </xf>
    <xf numFmtId="0" fontId="10" fillId="0" borderId="2" xfId="0" applyFont="1" applyBorder="1" applyAlignment="1">
      <alignment horizontal="center" wrapText="1"/>
    </xf>
    <xf numFmtId="0" fontId="31" fillId="9" borderId="24" xfId="0" applyFont="1" applyFill="1" applyBorder="1"/>
    <xf numFmtId="0" fontId="23" fillId="0" borderId="16" xfId="0" applyFont="1" applyBorder="1"/>
    <xf numFmtId="0" fontId="32" fillId="0" borderId="2" xfId="0" applyFont="1" applyBorder="1"/>
    <xf numFmtId="0" fontId="27" fillId="0" borderId="14" xfId="0" applyFont="1" applyBorder="1" applyAlignment="1">
      <alignment horizontal="center"/>
    </xf>
    <xf numFmtId="0" fontId="23" fillId="18" borderId="2" xfId="0" applyFont="1" applyFill="1" applyBorder="1"/>
    <xf numFmtId="0" fontId="23" fillId="4" borderId="2" xfId="0" applyFont="1" applyFill="1" applyBorder="1"/>
    <xf numFmtId="3" fontId="0" fillId="2" borderId="2" xfId="0" applyNumberFormat="1" applyFill="1" applyBorder="1"/>
    <xf numFmtId="3" fontId="33" fillId="10" borderId="2" xfId="0" applyNumberFormat="1" applyFont="1" applyFill="1" applyBorder="1"/>
    <xf numFmtId="3" fontId="23" fillId="10" borderId="2" xfId="0" applyNumberFormat="1" applyFont="1" applyFill="1" applyBorder="1"/>
    <xf numFmtId="165" fontId="23" fillId="0" borderId="2" xfId="0" applyNumberFormat="1" applyFont="1" applyBorder="1"/>
    <xf numFmtId="37" fontId="23" fillId="0" borderId="2" xfId="1" applyNumberFormat="1" applyFont="1" applyFill="1" applyBorder="1"/>
    <xf numFmtId="0" fontId="23" fillId="4" borderId="2" xfId="0" applyFont="1" applyFill="1" applyBorder="1" applyAlignment="1">
      <alignment horizontal="center"/>
    </xf>
    <xf numFmtId="166" fontId="3" fillId="5" borderId="2" xfId="1" quotePrefix="1" applyNumberFormat="1" applyFont="1" applyFill="1" applyBorder="1"/>
    <xf numFmtId="0" fontId="34" fillId="4" borderId="2" xfId="0" applyFont="1" applyFill="1" applyBorder="1"/>
    <xf numFmtId="9" fontId="0" fillId="0" borderId="2" xfId="2" applyFont="1" applyBorder="1"/>
    <xf numFmtId="166" fontId="0" fillId="14" borderId="2" xfId="1" applyNumberFormat="1" applyFont="1" applyFill="1" applyBorder="1"/>
    <xf numFmtId="1" fontId="2" fillId="6" borderId="2" xfId="0" applyNumberFormat="1" applyFont="1" applyFill="1" applyBorder="1"/>
    <xf numFmtId="1" fontId="2" fillId="0" borderId="2" xfId="0" applyNumberFormat="1" applyFont="1" applyBorder="1"/>
    <xf numFmtId="0" fontId="34" fillId="0" borderId="2" xfId="0" applyFont="1" applyBorder="1"/>
    <xf numFmtId="0" fontId="23" fillId="19" borderId="2" xfId="0" applyFont="1" applyFill="1" applyBorder="1"/>
    <xf numFmtId="0" fontId="23" fillId="0" borderId="9" xfId="0" applyFont="1" applyBorder="1"/>
    <xf numFmtId="0" fontId="23" fillId="0" borderId="5" xfId="0" applyFont="1" applyBorder="1"/>
    <xf numFmtId="2" fontId="23" fillId="0" borderId="6" xfId="0" applyNumberFormat="1" applyFont="1" applyBorder="1"/>
    <xf numFmtId="0" fontId="23" fillId="0" borderId="13" xfId="0" applyFont="1" applyBorder="1" applyAlignment="1">
      <alignment horizontal="center"/>
    </xf>
    <xf numFmtId="0" fontId="23" fillId="7" borderId="2" xfId="0" applyFont="1" applyFill="1" applyBorder="1"/>
    <xf numFmtId="3" fontId="23" fillId="5" borderId="2" xfId="0" applyNumberFormat="1" applyFont="1" applyFill="1" applyBorder="1"/>
    <xf numFmtId="3" fontId="33" fillId="0" borderId="2" xfId="0" applyNumberFormat="1" applyFont="1" applyBorder="1"/>
    <xf numFmtId="168" fontId="33" fillId="0" borderId="2" xfId="0" applyNumberFormat="1" applyFont="1" applyBorder="1"/>
    <xf numFmtId="165" fontId="0" fillId="0" borderId="2" xfId="2" applyNumberFormat="1" applyFont="1" applyBorder="1"/>
    <xf numFmtId="166" fontId="34" fillId="0" borderId="2" xfId="1" applyNumberFormat="1" applyFont="1" applyBorder="1"/>
    <xf numFmtId="2" fontId="23" fillId="0" borderId="28" xfId="0" applyNumberFormat="1" applyFont="1" applyBorder="1"/>
    <xf numFmtId="9" fontId="0" fillId="4" borderId="2" xfId="2" applyFont="1" applyFill="1" applyBorder="1"/>
    <xf numFmtId="165" fontId="0" fillId="4" borderId="2" xfId="2" applyNumberFormat="1" applyFont="1" applyFill="1" applyBorder="1"/>
    <xf numFmtId="0" fontId="0" fillId="6" borderId="15" xfId="0" applyFill="1" applyBorder="1"/>
    <xf numFmtId="1" fontId="2" fillId="6" borderId="15" xfId="0" applyNumberFormat="1" applyFont="1" applyFill="1" applyBorder="1"/>
    <xf numFmtId="0" fontId="0" fillId="0" borderId="15" xfId="0" applyBorder="1"/>
    <xf numFmtId="0" fontId="2" fillId="0" borderId="15" xfId="0" applyFont="1" applyBorder="1"/>
    <xf numFmtId="0" fontId="10" fillId="7" borderId="2" xfId="0" applyFont="1" applyFill="1" applyBorder="1"/>
    <xf numFmtId="2" fontId="0" fillId="0" borderId="2" xfId="0" applyNumberFormat="1" applyBorder="1"/>
    <xf numFmtId="0" fontId="10" fillId="7" borderId="27" xfId="0" applyFont="1" applyFill="1" applyBorder="1"/>
    <xf numFmtId="0" fontId="0" fillId="0" borderId="27" xfId="0" applyBorder="1"/>
    <xf numFmtId="2" fontId="0" fillId="0" borderId="27" xfId="0" applyNumberFormat="1" applyBorder="1"/>
    <xf numFmtId="0" fontId="9" fillId="7" borderId="2" xfId="0" applyFont="1" applyFill="1" applyBorder="1" applyAlignment="1">
      <alignment horizontal="left" wrapText="1"/>
    </xf>
    <xf numFmtId="0" fontId="10" fillId="7" borderId="14" xfId="0" applyFont="1" applyFill="1" applyBorder="1"/>
    <xf numFmtId="166" fontId="0" fillId="4" borderId="2" xfId="1" applyNumberFormat="1" applyFont="1" applyFill="1" applyBorder="1"/>
    <xf numFmtId="0" fontId="3" fillId="5" borderId="24" xfId="0" applyFont="1" applyFill="1" applyBorder="1" applyAlignment="1">
      <alignment horizontal="center" wrapText="1"/>
    </xf>
    <xf numFmtId="0" fontId="35" fillId="17" borderId="2" xfId="0" applyFont="1" applyFill="1" applyBorder="1"/>
    <xf numFmtId="0" fontId="27" fillId="0" borderId="2" xfId="0" applyFont="1" applyBorder="1" applyAlignment="1">
      <alignment horizontal="center"/>
    </xf>
    <xf numFmtId="0" fontId="0" fillId="3" borderId="2" xfId="0" applyFill="1" applyBorder="1"/>
    <xf numFmtId="0" fontId="36" fillId="0" borderId="0" xfId="0" applyFont="1"/>
    <xf numFmtId="0" fontId="23" fillId="3" borderId="2" xfId="0" applyFont="1" applyFill="1" applyBorder="1"/>
    <xf numFmtId="0" fontId="23" fillId="24" borderId="2" xfId="0" applyFont="1" applyFill="1" applyBorder="1"/>
    <xf numFmtId="0" fontId="23" fillId="8" borderId="2" xfId="0" applyFont="1" applyFill="1" applyBorder="1"/>
    <xf numFmtId="0" fontId="0" fillId="8" borderId="2" xfId="0" applyFill="1" applyBorder="1"/>
    <xf numFmtId="1" fontId="0" fillId="7" borderId="2" xfId="0" applyNumberFormat="1" applyFill="1" applyBorder="1"/>
    <xf numFmtId="0" fontId="9" fillId="0" borderId="2" xfId="0" applyFont="1" applyBorder="1" applyAlignment="1">
      <alignment horizontal="left" wrapText="1"/>
    </xf>
    <xf numFmtId="0" fontId="37" fillId="9" borderId="0" xfId="0" applyFont="1" applyFill="1"/>
    <xf numFmtId="0" fontId="9" fillId="0" borderId="2" xfId="0" applyFont="1" applyBorder="1" applyAlignment="1">
      <alignment horizontal="center" wrapText="1"/>
    </xf>
    <xf numFmtId="0" fontId="9" fillId="0" borderId="2" xfId="0" applyFont="1" applyBorder="1" applyAlignment="1">
      <alignment horizontal="center" vertical="center" wrapText="1"/>
    </xf>
    <xf numFmtId="0" fontId="4" fillId="9" borderId="2" xfId="0" applyFont="1" applyFill="1" applyBorder="1"/>
    <xf numFmtId="9" fontId="0" fillId="7" borderId="2" xfId="2" applyFont="1" applyFill="1" applyBorder="1"/>
    <xf numFmtId="1" fontId="3" fillId="5" borderId="16" xfId="0" applyNumberFormat="1" applyFont="1" applyFill="1" applyBorder="1"/>
    <xf numFmtId="10" fontId="0" fillId="0" borderId="2" xfId="0" applyNumberFormat="1" applyBorder="1"/>
    <xf numFmtId="0" fontId="36" fillId="9" borderId="2" xfId="0" applyFont="1" applyFill="1" applyBorder="1"/>
    <xf numFmtId="0" fontId="9" fillId="0" borderId="16" xfId="0" applyFont="1" applyBorder="1" applyAlignment="1">
      <alignment horizontal="left" wrapText="1"/>
    </xf>
    <xf numFmtId="0" fontId="5" fillId="0" borderId="2" xfId="0" applyFont="1" applyBorder="1" applyAlignment="1">
      <alignment horizontal="left" wrapText="1"/>
    </xf>
    <xf numFmtId="0" fontId="38" fillId="0" borderId="2" xfId="0" applyFont="1" applyBorder="1"/>
    <xf numFmtId="0" fontId="3" fillId="5" borderId="7" xfId="0" applyFont="1" applyFill="1" applyBorder="1" applyAlignment="1">
      <alignment horizontal="center" wrapText="1"/>
    </xf>
    <xf numFmtId="0" fontId="31" fillId="9" borderId="2" xfId="0" applyFont="1" applyFill="1" applyBorder="1"/>
    <xf numFmtId="0" fontId="4" fillId="3" borderId="2" xfId="0" applyFont="1" applyFill="1" applyBorder="1"/>
    <xf numFmtId="1" fontId="0" fillId="7" borderId="2" xfId="2" quotePrefix="1" applyNumberFormat="1" applyFont="1" applyFill="1" applyBorder="1"/>
    <xf numFmtId="1" fontId="3" fillId="5" borderId="29" xfId="0" applyNumberFormat="1" applyFont="1" applyFill="1" applyBorder="1"/>
    <xf numFmtId="2" fontId="0" fillId="7" borderId="2" xfId="0" applyNumberFormat="1" applyFill="1" applyBorder="1"/>
    <xf numFmtId="1" fontId="0" fillId="7" borderId="2" xfId="2" applyNumberFormat="1" applyFont="1" applyFill="1" applyBorder="1"/>
    <xf numFmtId="1" fontId="3" fillId="5" borderId="30" xfId="0" applyNumberFormat="1" applyFont="1" applyFill="1" applyBorder="1"/>
    <xf numFmtId="1" fontId="3" fillId="5" borderId="31" xfId="0" applyNumberFormat="1" applyFont="1" applyFill="1" applyBorder="1"/>
    <xf numFmtId="0" fontId="36" fillId="3" borderId="2" xfId="0" applyFont="1" applyFill="1" applyBorder="1"/>
    <xf numFmtId="0" fontId="0" fillId="25" borderId="0" xfId="0" applyFill="1"/>
    <xf numFmtId="1" fontId="0" fillId="5" borderId="29" xfId="0" applyNumberFormat="1" applyFill="1" applyBorder="1"/>
    <xf numFmtId="1" fontId="0" fillId="5" borderId="30" xfId="0" applyNumberFormat="1" applyFill="1" applyBorder="1"/>
    <xf numFmtId="1" fontId="0" fillId="5" borderId="31" xfId="0" applyNumberFormat="1" applyFill="1" applyBorder="1"/>
    <xf numFmtId="0" fontId="31" fillId="24" borderId="2" xfId="0" applyFont="1" applyFill="1" applyBorder="1"/>
    <xf numFmtId="1" fontId="3" fillId="12" borderId="2" xfId="0" applyNumberFormat="1" applyFont="1" applyFill="1" applyBorder="1"/>
    <xf numFmtId="0" fontId="0" fillId="12" borderId="2" xfId="0" applyFill="1" applyBorder="1"/>
    <xf numFmtId="0" fontId="0" fillId="0" borderId="15" xfId="0" applyBorder="1" applyAlignment="1">
      <alignment wrapText="1"/>
    </xf>
    <xf numFmtId="0" fontId="39" fillId="0" borderId="2" xfId="0" applyFont="1" applyBorder="1"/>
    <xf numFmtId="0" fontId="9" fillId="0" borderId="0" xfId="0" applyFont="1" applyAlignment="1">
      <alignment horizontal="center" wrapText="1"/>
    </xf>
    <xf numFmtId="0" fontId="40" fillId="0" borderId="0" xfId="0" applyFont="1" applyAlignment="1">
      <alignment horizontal="center"/>
    </xf>
    <xf numFmtId="0" fontId="0" fillId="13" borderId="2" xfId="0" applyFill="1" applyBorder="1"/>
    <xf numFmtId="43" fontId="0" fillId="13" borderId="2" xfId="0" applyNumberFormat="1" applyFill="1" applyBorder="1"/>
    <xf numFmtId="0" fontId="7" fillId="8" borderId="15" xfId="0" applyFont="1" applyFill="1" applyBorder="1"/>
    <xf numFmtId="0" fontId="7" fillId="8" borderId="2" xfId="0" applyFont="1" applyFill="1" applyBorder="1" applyAlignment="1">
      <alignment horizontal="center"/>
    </xf>
    <xf numFmtId="0" fontId="7" fillId="8" borderId="20" xfId="0" applyFont="1" applyFill="1" applyBorder="1" applyAlignment="1">
      <alignment horizontal="center"/>
    </xf>
    <xf numFmtId="0" fontId="7" fillId="8" borderId="27" xfId="0" applyFont="1" applyFill="1" applyBorder="1"/>
    <xf numFmtId="0" fontId="7" fillId="8" borderId="14" xfId="0" applyFont="1" applyFill="1" applyBorder="1"/>
    <xf numFmtId="0" fontId="41" fillId="0" borderId="2" xfId="0" applyFont="1" applyBorder="1"/>
    <xf numFmtId="0" fontId="5" fillId="0" borderId="15" xfId="0" applyFont="1" applyBorder="1"/>
    <xf numFmtId="0" fontId="36" fillId="26" borderId="0" xfId="0" applyFont="1" applyFill="1"/>
    <xf numFmtId="0" fontId="5" fillId="0" borderId="14" xfId="0" applyFont="1" applyBorder="1" applyAlignment="1">
      <alignment horizontal="center"/>
    </xf>
    <xf numFmtId="0" fontId="0" fillId="0" borderId="1" xfId="0" applyBorder="1"/>
    <xf numFmtId="169" fontId="0" fillId="0" borderId="2" xfId="0" applyNumberFormat="1" applyBorder="1"/>
    <xf numFmtId="167" fontId="0" fillId="0" borderId="2" xfId="0" applyNumberFormat="1" applyBorder="1"/>
    <xf numFmtId="166" fontId="0" fillId="5" borderId="2" xfId="0" applyNumberFormat="1" applyFill="1" applyBorder="1"/>
    <xf numFmtId="0" fontId="0" fillId="12" borderId="2" xfId="0" applyFill="1" applyBorder="1" applyAlignment="1">
      <alignment horizontal="center" wrapText="1"/>
    </xf>
    <xf numFmtId="0" fontId="0" fillId="0" borderId="2" xfId="0" applyBorder="1" applyAlignment="1">
      <alignment horizontal="center" vertical="center"/>
    </xf>
    <xf numFmtId="3" fontId="0" fillId="13" borderId="2" xfId="0" applyNumberFormat="1" applyFill="1" applyBorder="1"/>
    <xf numFmtId="43" fontId="0" fillId="8" borderId="2" xfId="0" applyNumberFormat="1" applyFill="1" applyBorder="1"/>
    <xf numFmtId="2" fontId="0" fillId="5" borderId="2" xfId="0" applyNumberFormat="1" applyFill="1" applyBorder="1"/>
    <xf numFmtId="1" fontId="0" fillId="12" borderId="2" xfId="0" applyNumberFormat="1" applyFill="1" applyBorder="1"/>
    <xf numFmtId="0" fontId="0" fillId="0" borderId="2" xfId="0" applyBorder="1" applyAlignment="1">
      <alignment wrapText="1"/>
    </xf>
    <xf numFmtId="169" fontId="0" fillId="5" borderId="2" xfId="0" applyNumberFormat="1" applyFill="1" applyBorder="1"/>
    <xf numFmtId="43" fontId="0" fillId="13" borderId="14" xfId="0" applyNumberFormat="1" applyFill="1" applyBorder="1"/>
    <xf numFmtId="2" fontId="0" fillId="13" borderId="14" xfId="0" quotePrefix="1" applyNumberFormat="1" applyFill="1" applyBorder="1"/>
    <xf numFmtId="2" fontId="0" fillId="13" borderId="2" xfId="0" applyNumberFormat="1" applyFill="1" applyBorder="1"/>
    <xf numFmtId="2" fontId="0" fillId="13" borderId="14" xfId="0" applyNumberFormat="1" applyFill="1" applyBorder="1"/>
    <xf numFmtId="0" fontId="0" fillId="12" borderId="2" xfId="0" applyFill="1" applyBorder="1" applyAlignment="1">
      <alignment horizontal="center"/>
    </xf>
    <xf numFmtId="1" fontId="0" fillId="13" borderId="2" xfId="0" applyNumberFormat="1" applyFill="1" applyBorder="1"/>
    <xf numFmtId="0" fontId="3" fillId="5" borderId="8" xfId="0" applyFont="1" applyFill="1" applyBorder="1" applyAlignment="1">
      <alignment horizontal="center" wrapText="1"/>
    </xf>
    <xf numFmtId="0" fontId="20" fillId="5" borderId="8" xfId="0" applyFont="1" applyFill="1" applyBorder="1" applyAlignment="1">
      <alignment horizontal="center" wrapText="1"/>
    </xf>
    <xf numFmtId="0" fontId="12" fillId="3" borderId="23" xfId="0" applyFont="1" applyFill="1" applyBorder="1" applyAlignment="1">
      <alignment horizontal="center"/>
    </xf>
    <xf numFmtId="0" fontId="12" fillId="0" borderId="0" xfId="0" applyFont="1" applyAlignment="1">
      <alignment horizontal="center"/>
    </xf>
    <xf numFmtId="0" fontId="12" fillId="0" borderId="10" xfId="0" applyFont="1" applyBorder="1"/>
    <xf numFmtId="0" fontId="0" fillId="0" borderId="0" xfId="0" applyAlignment="1">
      <alignment horizontal="center" wrapText="1"/>
    </xf>
    <xf numFmtId="0" fontId="0" fillId="0" borderId="27" xfId="0" applyBorder="1" applyAlignment="1">
      <alignment horizontal="center" wrapText="1"/>
    </xf>
    <xf numFmtId="0" fontId="0" fillId="0" borderId="14" xfId="0" applyBorder="1" applyAlignment="1">
      <alignment horizontal="center" wrapText="1"/>
    </xf>
    <xf numFmtId="0" fontId="0" fillId="0" borderId="15" xfId="0" applyBorder="1" applyAlignment="1">
      <alignment horizontal="center" wrapText="1"/>
    </xf>
    <xf numFmtId="3" fontId="8" fillId="16" borderId="2" xfId="0" applyNumberFormat="1" applyFont="1" applyFill="1" applyBorder="1"/>
    <xf numFmtId="3" fontId="4" fillId="16" borderId="2" xfId="0" applyNumberFormat="1" applyFont="1" applyFill="1" applyBorder="1"/>
    <xf numFmtId="0" fontId="8" fillId="0" borderId="0" xfId="0" applyFont="1"/>
    <xf numFmtId="0" fontId="42" fillId="0" borderId="2" xfId="0" applyFont="1" applyBorder="1"/>
    <xf numFmtId="0" fontId="3" fillId="23" borderId="0" xfId="0" applyFont="1" applyFill="1" applyAlignment="1">
      <alignment horizontal="center"/>
    </xf>
    <xf numFmtId="0" fontId="30" fillId="24" borderId="11" xfId="0" applyFont="1" applyFill="1" applyBorder="1" applyAlignment="1">
      <alignment horizontal="center"/>
    </xf>
    <xf numFmtId="0" fontId="30" fillId="24" borderId="1" xfId="0" applyFont="1" applyFill="1" applyBorder="1" applyAlignment="1">
      <alignment horizontal="center"/>
    </xf>
    <xf numFmtId="0" fontId="30" fillId="0" borderId="11" xfId="0" applyFont="1" applyBorder="1" applyAlignment="1">
      <alignment horizontal="center"/>
    </xf>
    <xf numFmtId="0" fontId="30" fillId="0" borderId="12" xfId="0" applyFont="1" applyBorder="1" applyAlignment="1">
      <alignment horizontal="center"/>
    </xf>
    <xf numFmtId="0" fontId="30" fillId="0" borderId="1" xfId="0" applyFont="1" applyBorder="1" applyAlignment="1">
      <alignment horizontal="center"/>
    </xf>
    <xf numFmtId="0" fontId="28" fillId="25" borderId="0" xfId="0" applyFont="1" applyFill="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16" xfId="0" applyBorder="1" applyAlignment="1">
      <alignment horizontal="center"/>
    </xf>
    <xf numFmtId="0" fontId="0" fillId="0" borderId="15" xfId="0" applyBorder="1" applyAlignment="1">
      <alignment horizontal="center" wrapText="1"/>
    </xf>
    <xf numFmtId="0" fontId="0" fillId="0" borderId="27" xfId="0" applyBorder="1" applyAlignment="1">
      <alignment horizontal="center" wrapText="1"/>
    </xf>
    <xf numFmtId="0" fontId="0" fillId="0" borderId="14" xfId="0" applyBorder="1" applyAlignment="1">
      <alignment horizontal="center" wrapText="1"/>
    </xf>
    <xf numFmtId="0" fontId="7" fillId="0" borderId="15" xfId="0" applyFont="1" applyBorder="1" applyAlignment="1">
      <alignment horizontal="center" wrapText="1"/>
    </xf>
    <xf numFmtId="0" fontId="7" fillId="0" borderId="14" xfId="0" applyFont="1" applyBorder="1" applyAlignment="1">
      <alignment horizontal="center" wrapText="1"/>
    </xf>
    <xf numFmtId="0" fontId="0" fillId="7" borderId="17" xfId="0" applyFill="1" applyBorder="1" applyAlignment="1">
      <alignment horizontal="center" vertical="center"/>
    </xf>
    <xf numFmtId="0" fontId="0" fillId="7" borderId="18" xfId="0" applyFill="1" applyBorder="1" applyAlignment="1">
      <alignment horizontal="center" vertical="center"/>
    </xf>
    <xf numFmtId="0" fontId="0" fillId="7" borderId="19" xfId="0" applyFill="1" applyBorder="1" applyAlignment="1">
      <alignment horizontal="center" vertical="center"/>
    </xf>
    <xf numFmtId="0" fontId="0" fillId="7" borderId="25" xfId="0" applyFill="1" applyBorder="1" applyAlignment="1">
      <alignment horizontal="center" vertical="center"/>
    </xf>
    <xf numFmtId="0" fontId="0" fillId="7" borderId="1" xfId="0" applyFill="1" applyBorder="1" applyAlignment="1">
      <alignment horizontal="center" vertical="center"/>
    </xf>
    <xf numFmtId="0" fontId="0" fillId="7" borderId="26" xfId="0" applyFill="1" applyBorder="1" applyAlignment="1">
      <alignment horizontal="center" vertical="center"/>
    </xf>
    <xf numFmtId="0" fontId="0" fillId="0" borderId="15" xfId="0" applyBorder="1" applyAlignment="1">
      <alignment horizontal="center" vertical="center" wrapText="1"/>
    </xf>
    <xf numFmtId="0" fontId="0" fillId="0" borderId="14" xfId="0" applyBorder="1" applyAlignment="1">
      <alignment horizontal="center" vertical="center" wrapText="1"/>
    </xf>
    <xf numFmtId="0" fontId="9" fillId="7" borderId="15" xfId="0" applyFont="1" applyFill="1" applyBorder="1" applyAlignment="1">
      <alignment horizontal="center" wrapText="1"/>
    </xf>
    <xf numFmtId="0" fontId="9" fillId="7" borderId="27" xfId="0" applyFont="1" applyFill="1" applyBorder="1" applyAlignment="1">
      <alignment horizontal="center" wrapText="1"/>
    </xf>
    <xf numFmtId="0" fontId="9" fillId="7" borderId="14" xfId="0" applyFont="1" applyFill="1" applyBorder="1" applyAlignment="1">
      <alignment horizontal="center" wrapText="1"/>
    </xf>
    <xf numFmtId="0" fontId="5" fillId="0" borderId="15"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14" xfId="0" applyFont="1" applyBorder="1" applyAlignment="1">
      <alignment horizontal="center" vertical="center" wrapText="1"/>
    </xf>
    <xf numFmtId="0" fontId="28" fillId="5" borderId="3" xfId="0" applyFont="1" applyFill="1" applyBorder="1" applyAlignment="1">
      <alignment horizontal="center" wrapText="1"/>
    </xf>
    <xf numFmtId="0" fontId="28" fillId="5" borderId="4" xfId="0" applyFont="1" applyFill="1" applyBorder="1" applyAlignment="1">
      <alignment horizontal="center" wrapText="1"/>
    </xf>
    <xf numFmtId="0" fontId="28" fillId="5" borderId="16" xfId="0" applyFont="1" applyFill="1" applyBorder="1" applyAlignment="1">
      <alignment horizontal="center" wrapText="1"/>
    </xf>
    <xf numFmtId="0" fontId="29" fillId="5" borderId="3" xfId="0" applyFont="1" applyFill="1" applyBorder="1" applyAlignment="1">
      <alignment horizontal="center" vertical="center" wrapText="1"/>
    </xf>
    <xf numFmtId="0" fontId="29" fillId="5" borderId="4" xfId="0" applyFont="1" applyFill="1" applyBorder="1" applyAlignment="1">
      <alignment horizontal="center" vertical="center" wrapText="1"/>
    </xf>
    <xf numFmtId="0" fontId="29" fillId="5" borderId="16" xfId="0" applyFont="1" applyFill="1" applyBorder="1" applyAlignment="1">
      <alignment horizontal="center" vertical="center" wrapText="1"/>
    </xf>
    <xf numFmtId="0" fontId="5" fillId="0" borderId="27" xfId="0" applyFont="1" applyBorder="1" applyAlignment="1">
      <alignment horizontal="center" wrapText="1"/>
    </xf>
    <xf numFmtId="0" fontId="5" fillId="0" borderId="14" xfId="0" applyFont="1" applyBorder="1" applyAlignment="1">
      <alignment horizontal="center" wrapText="1"/>
    </xf>
    <xf numFmtId="0" fontId="24" fillId="18" borderId="20" xfId="0" applyFont="1" applyFill="1" applyBorder="1" applyAlignment="1">
      <alignment horizontal="right"/>
    </xf>
    <xf numFmtId="0" fontId="24" fillId="18" borderId="21" xfId="0" applyFont="1" applyFill="1" applyBorder="1" applyAlignment="1">
      <alignment horizontal="right"/>
    </xf>
    <xf numFmtId="0" fontId="25" fillId="6" borderId="3" xfId="0" applyFont="1" applyFill="1" applyBorder="1" applyAlignment="1">
      <alignment horizontal="right"/>
    </xf>
    <xf numFmtId="0" fontId="25" fillId="6" borderId="16" xfId="0" applyFont="1" applyFill="1" applyBorder="1" applyAlignment="1">
      <alignment horizontal="right"/>
    </xf>
    <xf numFmtId="0" fontId="25" fillId="6" borderId="25" xfId="0" applyFont="1" applyFill="1" applyBorder="1" applyAlignment="1">
      <alignment horizontal="right" wrapText="1"/>
    </xf>
    <xf numFmtId="0" fontId="25" fillId="6" borderId="26" xfId="0" applyFont="1" applyFill="1" applyBorder="1" applyAlignment="1">
      <alignment horizontal="right" wrapText="1"/>
    </xf>
    <xf numFmtId="15" fontId="0" fillId="0" borderId="0" xfId="0" applyNumberFormat="1"/>
    <xf numFmtId="0" fontId="43" fillId="7" borderId="0" xfId="0" applyFont="1" applyFill="1"/>
    <xf numFmtId="0" fontId="44" fillId="3" borderId="2" xfId="0" applyFont="1" applyFill="1" applyBorder="1"/>
    <xf numFmtId="0" fontId="45" fillId="7" borderId="2" xfId="0" applyFont="1" applyFill="1" applyBorder="1"/>
  </cellXfs>
  <cellStyles count="3">
    <cellStyle name="Comma" xfId="1" builtinId="3"/>
    <cellStyle name="Normal" xfId="0" builtinId="0"/>
    <cellStyle name="Percent" xfId="2" builtinId="5"/>
  </cellStyles>
  <dxfs count="3">
    <dxf>
      <fill>
        <patternFill>
          <bgColor rgb="FFFF00FF"/>
        </patternFill>
      </fill>
    </dxf>
    <dxf>
      <fill>
        <patternFill>
          <bgColor rgb="FFFF00FF"/>
        </patternFill>
      </fill>
    </dxf>
    <dxf>
      <fill>
        <patternFill>
          <bgColor rgb="FFCC66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18</xdr:col>
      <xdr:colOff>0</xdr:colOff>
      <xdr:row>338</xdr:row>
      <xdr:rowOff>0</xdr:rowOff>
    </xdr:from>
    <xdr:ext cx="304800" cy="298813"/>
    <xdr:sp macro="" textlink="">
      <xdr:nvSpPr>
        <xdr:cNvPr id="2" name="AutoShape 2">
          <a:extLst>
            <a:ext uri="{FF2B5EF4-FFF2-40B4-BE49-F238E27FC236}">
              <a16:creationId xmlns:a16="http://schemas.microsoft.com/office/drawing/2014/main" id="{B5D498F7-FEBB-41B6-AA24-A3D1BC799021}"/>
            </a:ext>
          </a:extLst>
        </xdr:cNvPr>
        <xdr:cNvSpPr>
          <a:spLocks noChangeAspect="1" noChangeArrowheads="1"/>
        </xdr:cNvSpPr>
      </xdr:nvSpPr>
      <xdr:spPr bwMode="auto">
        <a:xfrm>
          <a:off x="19573875" y="71580375"/>
          <a:ext cx="304800" cy="29881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18</xdr:col>
      <xdr:colOff>181429</xdr:colOff>
      <xdr:row>18</xdr:row>
      <xdr:rowOff>68036</xdr:rowOff>
    </xdr:from>
    <xdr:to>
      <xdr:col>29</xdr:col>
      <xdr:colOff>574051</xdr:colOff>
      <xdr:row>31</xdr:row>
      <xdr:rowOff>186741</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55304" y="3592286"/>
          <a:ext cx="10698672" cy="25952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594"/>
  <sheetViews>
    <sheetView tabSelected="1" zoomScale="84" zoomScaleNormal="84" workbookViewId="0">
      <selection activeCell="Q14" sqref="Q14"/>
    </sheetView>
  </sheetViews>
  <sheetFormatPr defaultRowHeight="15" x14ac:dyDescent="0.25"/>
  <cols>
    <col min="1" max="1" width="23.7109375" customWidth="1"/>
    <col min="2" max="2" width="10.85546875" customWidth="1"/>
    <col min="3" max="3" width="8.28515625" customWidth="1"/>
    <col min="4" max="4" width="8.85546875" customWidth="1"/>
    <col min="5" max="5" width="15" customWidth="1"/>
    <col min="6" max="6" width="6.28515625" customWidth="1"/>
    <col min="7" max="7" width="6.7109375" customWidth="1"/>
    <col min="8" max="8" width="22.7109375" customWidth="1"/>
    <col min="9" max="9" width="12.7109375" customWidth="1"/>
    <col min="10" max="10" width="12.5703125" customWidth="1"/>
    <col min="11" max="11" width="18.5703125" customWidth="1"/>
    <col min="12" max="12" width="14" customWidth="1"/>
    <col min="13" max="13" width="18" bestFit="1" customWidth="1"/>
    <col min="14" max="14" width="22.85546875" customWidth="1"/>
    <col min="15" max="15" width="19.28515625" customWidth="1"/>
    <col min="16" max="16" width="12.42578125" customWidth="1"/>
    <col min="17" max="17" width="42.42578125" customWidth="1"/>
    <col min="18" max="18" width="18.28515625" customWidth="1"/>
    <col min="19" max="19" width="15.28515625" customWidth="1"/>
    <col min="20" max="20" width="17.5703125" customWidth="1"/>
    <col min="21" max="21" width="11.85546875" customWidth="1"/>
    <col min="22" max="22" width="14.85546875" customWidth="1"/>
    <col min="23" max="23" width="10.5703125" customWidth="1"/>
    <col min="24" max="24" width="10" bestFit="1" customWidth="1"/>
    <col min="25" max="25" width="13.28515625" customWidth="1"/>
    <col min="26" max="26" width="23.28515625" customWidth="1"/>
    <col min="27" max="27" width="11" customWidth="1"/>
    <col min="28" max="29" width="13.42578125" customWidth="1"/>
    <col min="30" max="30" width="11.28515625" customWidth="1"/>
    <col min="31" max="31" width="14" customWidth="1"/>
    <col min="32" max="33" width="13.42578125" customWidth="1"/>
    <col min="34" max="34" width="12.140625" customWidth="1"/>
    <col min="35" max="35" width="12.7109375" customWidth="1"/>
    <col min="36" max="36" width="12.140625" customWidth="1"/>
    <col min="37" max="37" width="10.28515625" customWidth="1"/>
    <col min="38" max="38" width="10.140625" customWidth="1"/>
    <col min="39" max="39" width="13.5703125" customWidth="1"/>
  </cols>
  <sheetData>
    <row r="1" spans="1:20" x14ac:dyDescent="0.25">
      <c r="B1" s="27"/>
      <c r="C1" s="28"/>
      <c r="D1" s="29"/>
      <c r="E1" s="28"/>
      <c r="F1" s="30"/>
      <c r="G1" s="29"/>
      <c r="H1" s="29"/>
      <c r="I1" s="29"/>
      <c r="J1" s="29"/>
      <c r="K1" s="29"/>
      <c r="L1" s="29"/>
      <c r="M1" s="29"/>
      <c r="N1" s="31"/>
      <c r="O1" s="31"/>
    </row>
    <row r="2" spans="1:20" x14ac:dyDescent="0.25">
      <c r="B2" s="32"/>
      <c r="C2" s="28"/>
      <c r="D2" s="29"/>
      <c r="E2" s="28"/>
      <c r="F2" s="29"/>
      <c r="G2" s="29"/>
      <c r="H2" s="29"/>
      <c r="I2" s="29"/>
      <c r="J2" s="29"/>
      <c r="K2" s="29"/>
      <c r="L2" s="29"/>
      <c r="M2" s="29"/>
      <c r="N2" s="31"/>
      <c r="O2" s="31"/>
    </row>
    <row r="3" spans="1:20" ht="15.75" x14ac:dyDescent="0.25">
      <c r="B3" s="215">
        <v>8688</v>
      </c>
      <c r="C3" s="216"/>
      <c r="D3" s="217" t="s">
        <v>337</v>
      </c>
      <c r="E3" s="217"/>
      <c r="F3" s="217" t="s">
        <v>14</v>
      </c>
      <c r="G3" s="217" t="s">
        <v>336</v>
      </c>
      <c r="H3" s="26"/>
      <c r="I3" s="26"/>
      <c r="J3" s="26"/>
      <c r="K3" s="26"/>
      <c r="L3" s="26"/>
      <c r="M3" s="26"/>
      <c r="N3" s="26"/>
      <c r="O3" s="26"/>
      <c r="P3" s="26"/>
    </row>
    <row r="4" spans="1:20" x14ac:dyDescent="0.25">
      <c r="M4" s="233" t="s">
        <v>15</v>
      </c>
      <c r="N4" s="234"/>
      <c r="O4" s="234"/>
      <c r="P4" s="235"/>
    </row>
    <row r="5" spans="1:20" x14ac:dyDescent="0.25">
      <c r="M5" s="34" t="s">
        <v>16</v>
      </c>
      <c r="N5" s="35" t="s">
        <v>17</v>
      </c>
      <c r="O5" s="36" t="s">
        <v>18</v>
      </c>
      <c r="P5" s="37" t="s">
        <v>19</v>
      </c>
      <c r="R5">
        <v>0.5</v>
      </c>
    </row>
    <row r="6" spans="1:20" s="38" customFormat="1" ht="15.75" thickBot="1" x14ac:dyDescent="0.3">
      <c r="H6" s="39"/>
      <c r="I6" s="40" t="s">
        <v>10</v>
      </c>
      <c r="J6" s="40" t="s">
        <v>11</v>
      </c>
      <c r="K6" s="40" t="s">
        <v>12</v>
      </c>
      <c r="L6" s="40" t="s">
        <v>13</v>
      </c>
      <c r="M6" s="39"/>
      <c r="N6" s="39"/>
      <c r="O6" s="39"/>
      <c r="P6" s="39"/>
      <c r="R6">
        <v>0.55000000000000004</v>
      </c>
    </row>
    <row r="7" spans="1:20" ht="21.6" customHeight="1" thickBot="1" x14ac:dyDescent="0.4">
      <c r="B7" s="41" t="s">
        <v>20</v>
      </c>
      <c r="C7" s="41" t="s">
        <v>21</v>
      </c>
      <c r="D7" s="41" t="s">
        <v>22</v>
      </c>
      <c r="E7" s="42" t="s">
        <v>23</v>
      </c>
      <c r="H7" s="4" t="s">
        <v>24</v>
      </c>
      <c r="I7" s="222">
        <v>1000</v>
      </c>
      <c r="J7" s="223">
        <v>2000</v>
      </c>
      <c r="K7" s="223">
        <v>3000</v>
      </c>
      <c r="L7" s="43">
        <v>4000</v>
      </c>
      <c r="M7" s="2"/>
      <c r="N7" s="271" t="s">
        <v>360</v>
      </c>
      <c r="O7" s="271"/>
      <c r="P7" s="10"/>
      <c r="R7">
        <v>0.6</v>
      </c>
    </row>
    <row r="8" spans="1:20" s="53" customFormat="1" ht="18.75" x14ac:dyDescent="0.3">
      <c r="A8" s="45" t="s">
        <v>25</v>
      </c>
      <c r="B8" s="46">
        <v>390</v>
      </c>
      <c r="C8" s="46">
        <v>150</v>
      </c>
      <c r="D8" s="46">
        <v>100</v>
      </c>
      <c r="E8" s="47" t="s">
        <v>141</v>
      </c>
      <c r="F8" s="48" t="s">
        <v>27</v>
      </c>
      <c r="G8" s="49"/>
      <c r="H8" s="50" t="s">
        <v>28</v>
      </c>
      <c r="I8" s="51">
        <f>Q40*M8</f>
        <v>211.66536807000006</v>
      </c>
      <c r="J8" s="51">
        <f>Q41*M8</f>
        <v>382.73737788</v>
      </c>
      <c r="K8" s="52">
        <f>Q42*M8</f>
        <v>543.66104812500009</v>
      </c>
      <c r="L8" s="52">
        <f>Q43*M8</f>
        <v>707.48424396000019</v>
      </c>
      <c r="M8" s="50">
        <v>0.78</v>
      </c>
      <c r="N8" s="272" t="s">
        <v>361</v>
      </c>
      <c r="O8" s="272"/>
      <c r="P8" s="272"/>
      <c r="Q8" s="270"/>
      <c r="R8">
        <v>0.63</v>
      </c>
    </row>
    <row r="9" spans="1:20" x14ac:dyDescent="0.25">
      <c r="A9" s="54" t="s">
        <v>29</v>
      </c>
      <c r="B9" s="55"/>
      <c r="C9" s="55"/>
      <c r="D9" s="55"/>
      <c r="E9" s="225" t="s">
        <v>30</v>
      </c>
      <c r="F9" s="57" t="s">
        <v>31</v>
      </c>
      <c r="G9" s="49"/>
      <c r="H9" s="4" t="s">
        <v>32</v>
      </c>
      <c r="I9" s="15">
        <f>Q97*M9</f>
        <v>236.64000000000001</v>
      </c>
      <c r="J9" s="15">
        <f>Q98*M9</f>
        <v>244.79999999999998</v>
      </c>
      <c r="K9" s="15">
        <f>Q99*M9</f>
        <v>275.39999999999998</v>
      </c>
      <c r="L9" s="15">
        <f>Q100*M9</f>
        <v>299.2</v>
      </c>
      <c r="M9" s="4">
        <v>0.85</v>
      </c>
      <c r="N9" s="23"/>
      <c r="O9" s="44"/>
      <c r="P9" s="4"/>
      <c r="Q9" s="224"/>
      <c r="R9">
        <v>0.65</v>
      </c>
    </row>
    <row r="10" spans="1:20" x14ac:dyDescent="0.25">
      <c r="A10" s="37" t="s">
        <v>33</v>
      </c>
      <c r="B10" s="55"/>
      <c r="C10" s="55"/>
      <c r="D10" s="55"/>
      <c r="E10" s="56"/>
      <c r="F10" s="57" t="s">
        <v>31</v>
      </c>
      <c r="G10" s="58"/>
      <c r="H10" s="10" t="s">
        <v>34</v>
      </c>
      <c r="I10" s="59">
        <f>Q136*M10</f>
        <v>140</v>
      </c>
      <c r="J10" s="59">
        <f>Q137*M10</f>
        <v>140</v>
      </c>
      <c r="K10" s="59">
        <f>Q138*M10</f>
        <v>140</v>
      </c>
      <c r="L10" s="59">
        <f>Q139*M10</f>
        <v>140</v>
      </c>
      <c r="M10" s="4">
        <v>1</v>
      </c>
      <c r="N10" s="4"/>
      <c r="O10" s="4"/>
      <c r="P10" s="10"/>
      <c r="Q10" s="224"/>
      <c r="R10">
        <v>0.67500000000000004</v>
      </c>
    </row>
    <row r="11" spans="1:20" x14ac:dyDescent="0.25">
      <c r="A11" s="54" t="s">
        <v>35</v>
      </c>
      <c r="B11" s="60"/>
      <c r="C11" s="60"/>
      <c r="D11" s="60" t="s">
        <v>36</v>
      </c>
      <c r="E11" s="56" t="s">
        <v>37</v>
      </c>
      <c r="F11" s="57" t="s">
        <v>31</v>
      </c>
      <c r="G11" s="49"/>
      <c r="H11" s="4" t="s">
        <v>38</v>
      </c>
      <c r="I11" s="61">
        <f>S178*M11</f>
        <v>0</v>
      </c>
      <c r="J11" s="61">
        <f>S179*M11</f>
        <v>0</v>
      </c>
      <c r="K11" s="61">
        <f>S180*M11</f>
        <v>0</v>
      </c>
      <c r="L11" s="61">
        <f>S181*M11</f>
        <v>0</v>
      </c>
      <c r="M11" s="2">
        <v>1</v>
      </c>
      <c r="N11" s="4"/>
      <c r="O11" s="44"/>
      <c r="P11" s="4"/>
      <c r="R11">
        <v>0.7</v>
      </c>
    </row>
    <row r="12" spans="1:20" x14ac:dyDescent="0.25">
      <c r="A12" s="37" t="s">
        <v>39</v>
      </c>
      <c r="B12" s="263" t="s">
        <v>40</v>
      </c>
      <c r="C12" s="264"/>
      <c r="D12" s="62" t="s">
        <v>41</v>
      </c>
      <c r="E12" s="56" t="s">
        <v>42</v>
      </c>
      <c r="F12" s="57" t="s">
        <v>31</v>
      </c>
      <c r="G12" s="49"/>
      <c r="H12" s="10" t="s">
        <v>43</v>
      </c>
      <c r="I12" s="59">
        <f>Q219</f>
        <v>0</v>
      </c>
      <c r="J12" s="59">
        <f>Q220</f>
        <v>0</v>
      </c>
      <c r="K12" s="59">
        <f>Q221</f>
        <v>0</v>
      </c>
      <c r="L12" s="59">
        <f>Q222</f>
        <v>0</v>
      </c>
      <c r="M12" s="2"/>
      <c r="N12" s="4"/>
      <c r="O12" s="44"/>
      <c r="P12" s="4"/>
      <c r="R12">
        <v>0.72</v>
      </c>
    </row>
    <row r="13" spans="1:20" x14ac:dyDescent="0.25">
      <c r="A13" s="54" t="s">
        <v>44</v>
      </c>
      <c r="B13" s="63" t="s">
        <v>45</v>
      </c>
      <c r="C13" s="62"/>
      <c r="D13" s="62"/>
      <c r="E13" s="56" t="s">
        <v>194</v>
      </c>
      <c r="F13" s="57" t="s">
        <v>31</v>
      </c>
      <c r="G13" s="49"/>
      <c r="H13" s="4" t="s">
        <v>47</v>
      </c>
      <c r="I13" s="64">
        <f>Q270*M13</f>
        <v>126.711</v>
      </c>
      <c r="J13" s="64">
        <f>Q271*M13</f>
        <v>266.38</v>
      </c>
      <c r="K13" s="64">
        <f>Q272*M13</f>
        <v>399.76</v>
      </c>
      <c r="L13" s="64">
        <f>Q273*M13</f>
        <v>532.76</v>
      </c>
      <c r="M13" s="2">
        <v>0.76</v>
      </c>
      <c r="N13" s="4"/>
      <c r="O13" s="44"/>
      <c r="P13" s="4"/>
      <c r="R13">
        <v>0.74</v>
      </c>
      <c r="T13" s="33"/>
    </row>
    <row r="14" spans="1:20" x14ac:dyDescent="0.25">
      <c r="A14" s="37" t="s">
        <v>48</v>
      </c>
      <c r="B14" s="63" t="s">
        <v>49</v>
      </c>
      <c r="C14" s="62"/>
      <c r="D14" s="62"/>
      <c r="E14" s="56" t="s">
        <v>50</v>
      </c>
      <c r="F14" s="57" t="s">
        <v>31</v>
      </c>
      <c r="G14" s="49"/>
      <c r="H14" s="10" t="s">
        <v>51</v>
      </c>
      <c r="I14" s="59">
        <f>Q311</f>
        <v>0</v>
      </c>
      <c r="J14" s="59">
        <f>Q312</f>
        <v>0</v>
      </c>
      <c r="K14" s="59">
        <f>Q313</f>
        <v>0</v>
      </c>
      <c r="L14" s="59">
        <f>Q314</f>
        <v>0</v>
      </c>
      <c r="M14" s="2"/>
      <c r="N14" s="4"/>
      <c r="O14" s="44"/>
      <c r="P14" s="4"/>
      <c r="R14">
        <v>0.75</v>
      </c>
    </row>
    <row r="15" spans="1:20" x14ac:dyDescent="0.25">
      <c r="A15" s="54" t="s">
        <v>52</v>
      </c>
      <c r="B15" s="63" t="s">
        <v>53</v>
      </c>
      <c r="C15" s="62"/>
      <c r="D15" s="62"/>
      <c r="E15" s="56" t="s">
        <v>50</v>
      </c>
      <c r="F15" s="57" t="s">
        <v>31</v>
      </c>
      <c r="G15" s="49"/>
      <c r="H15" s="4" t="s">
        <v>54</v>
      </c>
      <c r="I15" s="13">
        <f>V395</f>
        <v>0</v>
      </c>
      <c r="J15" s="13">
        <f>V396</f>
        <v>0</v>
      </c>
      <c r="K15" s="13">
        <f>V397</f>
        <v>0</v>
      </c>
      <c r="L15" s="13">
        <f>V398</f>
        <v>0</v>
      </c>
      <c r="M15" s="2"/>
      <c r="N15" s="4"/>
      <c r="O15" s="44"/>
      <c r="P15" s="4"/>
      <c r="R15">
        <v>0.77500000000000002</v>
      </c>
    </row>
    <row r="16" spans="1:20" x14ac:dyDescent="0.25">
      <c r="A16" s="37" t="s">
        <v>55</v>
      </c>
      <c r="B16" s="65"/>
      <c r="C16" s="265" t="s">
        <v>56</v>
      </c>
      <c r="D16" s="266"/>
      <c r="E16" s="66" t="s">
        <v>50</v>
      </c>
      <c r="F16" s="57" t="s">
        <v>31</v>
      </c>
      <c r="G16" s="49"/>
      <c r="H16" s="10" t="s">
        <v>57</v>
      </c>
      <c r="I16" s="67">
        <f>R451</f>
        <v>0</v>
      </c>
      <c r="J16" s="67">
        <f>R452</f>
        <v>0</v>
      </c>
      <c r="K16" s="67">
        <f>R453</f>
        <v>0</v>
      </c>
      <c r="L16" s="67">
        <f>R454</f>
        <v>0</v>
      </c>
      <c r="M16" s="4"/>
      <c r="N16" s="23"/>
      <c r="O16" s="4"/>
      <c r="P16" s="4"/>
      <c r="R16">
        <v>0.8</v>
      </c>
    </row>
    <row r="17" spans="1:18" x14ac:dyDescent="0.25">
      <c r="A17" s="54" t="s">
        <v>58</v>
      </c>
      <c r="B17" s="267" t="s">
        <v>59</v>
      </c>
      <c r="C17" s="268"/>
      <c r="D17" s="68" t="s">
        <v>60</v>
      </c>
      <c r="E17" s="56" t="s">
        <v>50</v>
      </c>
      <c r="F17" s="57" t="s">
        <v>31</v>
      </c>
      <c r="G17" s="49"/>
      <c r="H17" s="4" t="s">
        <v>61</v>
      </c>
      <c r="I17" s="69">
        <f>U482</f>
        <v>0</v>
      </c>
      <c r="J17" s="69">
        <f>U483</f>
        <v>0</v>
      </c>
      <c r="K17" s="69">
        <f>U484</f>
        <v>0</v>
      </c>
      <c r="L17" s="69">
        <f>U485</f>
        <v>0</v>
      </c>
      <c r="M17" s="4"/>
      <c r="N17" s="23"/>
      <c r="O17" s="4"/>
      <c r="P17" s="4"/>
      <c r="R17">
        <v>0.82</v>
      </c>
    </row>
    <row r="18" spans="1:18" x14ac:dyDescent="0.25">
      <c r="A18" s="37" t="s">
        <v>62</v>
      </c>
      <c r="B18" s="70" t="s">
        <v>63</v>
      </c>
      <c r="C18" s="71">
        <v>131</v>
      </c>
      <c r="D18" s="71">
        <v>58</v>
      </c>
      <c r="E18" s="56"/>
      <c r="F18" s="57" t="s">
        <v>31</v>
      </c>
      <c r="G18" s="49"/>
      <c r="H18" s="10" t="s">
        <v>64</v>
      </c>
      <c r="I18" s="59">
        <f>U524*M18</f>
        <v>90</v>
      </c>
      <c r="J18" s="59">
        <f>U525*M18</f>
        <v>90</v>
      </c>
      <c r="K18" s="59">
        <f>U526*M18</f>
        <v>135</v>
      </c>
      <c r="L18" s="59">
        <f>U527*M18</f>
        <v>180</v>
      </c>
      <c r="M18" s="4">
        <v>1</v>
      </c>
      <c r="N18" s="23"/>
      <c r="O18" s="4"/>
      <c r="P18" s="4"/>
      <c r="R18">
        <v>0.84</v>
      </c>
    </row>
    <row r="19" spans="1:18" x14ac:dyDescent="0.25">
      <c r="A19" s="54" t="s">
        <v>65</v>
      </c>
      <c r="B19" s="55"/>
      <c r="C19" s="12" t="s">
        <v>66</v>
      </c>
      <c r="D19" s="12" t="s">
        <v>67</v>
      </c>
      <c r="E19" s="56" t="s">
        <v>67</v>
      </c>
      <c r="F19" s="57" t="s">
        <v>31</v>
      </c>
      <c r="G19" s="58"/>
      <c r="H19" s="4" t="s">
        <v>65</v>
      </c>
      <c r="I19" s="72">
        <f>Q564</f>
        <v>80</v>
      </c>
      <c r="J19" s="72">
        <f>Q564</f>
        <v>80</v>
      </c>
      <c r="K19" s="72">
        <f>Q564</f>
        <v>80</v>
      </c>
      <c r="L19" s="72">
        <f>Q564</f>
        <v>80</v>
      </c>
      <c r="M19" s="4">
        <v>1</v>
      </c>
      <c r="N19" s="5" t="s">
        <v>338</v>
      </c>
      <c r="O19" s="5"/>
      <c r="P19" s="10"/>
      <c r="R19">
        <v>0.86</v>
      </c>
    </row>
    <row r="20" spans="1:18" x14ac:dyDescent="0.25">
      <c r="A20" s="37" t="s">
        <v>68</v>
      </c>
      <c r="B20" s="55"/>
      <c r="C20" s="55"/>
      <c r="D20" s="55"/>
      <c r="E20" s="12"/>
      <c r="F20" s="57" t="s">
        <v>31</v>
      </c>
      <c r="G20" s="73"/>
      <c r="H20" s="10" t="s">
        <v>68</v>
      </c>
      <c r="I20" s="74">
        <f t="shared" ref="I20:L20" si="0">$M$20*I7</f>
        <v>90</v>
      </c>
      <c r="J20" s="74">
        <f t="shared" si="0"/>
        <v>180</v>
      </c>
      <c r="K20" s="74">
        <f t="shared" si="0"/>
        <v>270</v>
      </c>
      <c r="L20" s="74">
        <f t="shared" si="0"/>
        <v>360</v>
      </c>
      <c r="M20" s="4">
        <v>0.09</v>
      </c>
      <c r="N20" s="4" t="s">
        <v>333</v>
      </c>
      <c r="O20" s="44"/>
      <c r="P20" s="4"/>
      <c r="R20">
        <v>0.88</v>
      </c>
    </row>
    <row r="21" spans="1:18" x14ac:dyDescent="0.25">
      <c r="A21" s="54" t="s">
        <v>69</v>
      </c>
      <c r="B21" s="55"/>
      <c r="C21" s="55"/>
      <c r="D21" s="55"/>
      <c r="E21" s="12"/>
      <c r="F21" s="57" t="s">
        <v>31</v>
      </c>
      <c r="G21" s="73"/>
      <c r="H21" s="4" t="s">
        <v>69</v>
      </c>
      <c r="I21" s="4">
        <f>$M$21*I7</f>
        <v>40</v>
      </c>
      <c r="J21" s="4">
        <f t="shared" ref="J21:L21" si="1">$M$21*J7</f>
        <v>80</v>
      </c>
      <c r="K21" s="4">
        <f t="shared" si="1"/>
        <v>120</v>
      </c>
      <c r="L21" s="4">
        <f t="shared" si="1"/>
        <v>160</v>
      </c>
      <c r="M21" s="2">
        <v>0.04</v>
      </c>
      <c r="N21" s="4" t="s">
        <v>334</v>
      </c>
      <c r="O21" s="4"/>
      <c r="P21" s="10"/>
      <c r="Q21" t="s">
        <v>335</v>
      </c>
      <c r="R21">
        <v>0.89</v>
      </c>
    </row>
    <row r="22" spans="1:18" x14ac:dyDescent="0.25">
      <c r="A22" s="37" t="s">
        <v>70</v>
      </c>
      <c r="B22" s="55"/>
      <c r="C22" s="55"/>
      <c r="D22" s="55"/>
      <c r="E22" s="12"/>
      <c r="F22" s="57" t="s">
        <v>31</v>
      </c>
      <c r="G22" s="73"/>
      <c r="H22" s="10" t="s">
        <v>70</v>
      </c>
      <c r="I22" s="75">
        <f>$M$22*I7</f>
        <v>220</v>
      </c>
      <c r="J22" s="75">
        <f>$M$22*J7</f>
        <v>440</v>
      </c>
      <c r="K22" s="75">
        <f>$M$22*K7</f>
        <v>660</v>
      </c>
      <c r="L22" s="75">
        <f>$M$22*L7</f>
        <v>880</v>
      </c>
      <c r="M22" s="4">
        <v>0.22</v>
      </c>
      <c r="N22" s="4"/>
      <c r="O22" s="4"/>
      <c r="P22" s="10"/>
      <c r="R22">
        <v>0.9</v>
      </c>
    </row>
    <row r="23" spans="1:18" x14ac:dyDescent="0.25">
      <c r="A23" s="54" t="s">
        <v>71</v>
      </c>
      <c r="B23" s="55"/>
      <c r="C23" s="55"/>
      <c r="D23" s="55"/>
      <c r="E23" s="12"/>
      <c r="F23" s="57" t="s">
        <v>31</v>
      </c>
      <c r="G23" s="73"/>
      <c r="H23" s="4" t="s">
        <v>72</v>
      </c>
      <c r="I23" s="4">
        <f>$M$23*I7</f>
        <v>40</v>
      </c>
      <c r="J23" s="4">
        <f t="shared" ref="J23:L23" si="2">$M$23*J7</f>
        <v>80</v>
      </c>
      <c r="K23" s="4">
        <f t="shared" si="2"/>
        <v>120</v>
      </c>
      <c r="L23" s="4">
        <f t="shared" si="2"/>
        <v>160</v>
      </c>
      <c r="M23" s="2">
        <v>0.04</v>
      </c>
      <c r="N23" s="23"/>
      <c r="O23" s="4"/>
      <c r="P23" s="4"/>
    </row>
    <row r="24" spans="1:18" x14ac:dyDescent="0.25">
      <c r="A24" s="37" t="s">
        <v>73</v>
      </c>
      <c r="B24" s="55"/>
      <c r="C24" s="55"/>
      <c r="D24" s="55"/>
      <c r="E24" s="12"/>
      <c r="F24" s="57" t="s">
        <v>31</v>
      </c>
      <c r="G24" s="73"/>
      <c r="H24" s="10" t="s">
        <v>74</v>
      </c>
      <c r="I24" s="74">
        <v>250</v>
      </c>
      <c r="J24" s="74">
        <v>250</v>
      </c>
      <c r="K24" s="74">
        <v>250</v>
      </c>
      <c r="L24" s="74">
        <v>300</v>
      </c>
      <c r="M24" s="4"/>
      <c r="N24" s="23" t="s">
        <v>75</v>
      </c>
      <c r="O24" s="44"/>
      <c r="P24" s="4"/>
    </row>
    <row r="25" spans="1:18" x14ac:dyDescent="0.25">
      <c r="A25" s="54" t="s">
        <v>76</v>
      </c>
      <c r="B25" s="55"/>
      <c r="C25" s="55"/>
      <c r="D25" s="55"/>
      <c r="E25" s="12"/>
      <c r="F25" s="57" t="s">
        <v>31</v>
      </c>
      <c r="G25" s="58"/>
      <c r="H25" s="4" t="s">
        <v>76</v>
      </c>
      <c r="I25" s="4">
        <v>40</v>
      </c>
      <c r="J25" s="4">
        <v>40</v>
      </c>
      <c r="K25" s="4">
        <v>40</v>
      </c>
      <c r="L25" s="4">
        <v>40</v>
      </c>
      <c r="M25" s="4"/>
      <c r="N25" s="4"/>
      <c r="O25" s="4"/>
      <c r="P25" s="4"/>
    </row>
    <row r="26" spans="1:18" x14ac:dyDescent="0.25">
      <c r="A26" s="54" t="s">
        <v>77</v>
      </c>
      <c r="B26" s="55"/>
      <c r="C26" s="55"/>
      <c r="D26" s="55"/>
      <c r="E26" s="55"/>
      <c r="F26" s="55"/>
      <c r="H26" s="4" t="s">
        <v>77</v>
      </c>
      <c r="I26" s="13">
        <f>SUM(I8:I25)</f>
        <v>1565.0163680700002</v>
      </c>
      <c r="J26" s="13">
        <f>SUM(J8:J25)</f>
        <v>2273.91737788</v>
      </c>
      <c r="K26" s="13">
        <f>SUM(K8:K25)</f>
        <v>3033.8210481249998</v>
      </c>
      <c r="L26" s="13">
        <f>SUM(L8:L25)</f>
        <v>3839.4442439600002</v>
      </c>
      <c r="M26" s="4"/>
      <c r="N26" s="4"/>
      <c r="O26" s="4"/>
      <c r="P26" s="4"/>
    </row>
    <row r="27" spans="1:18" x14ac:dyDescent="0.25">
      <c r="G27" s="4" t="s">
        <v>78</v>
      </c>
      <c r="H27" s="76" t="s">
        <v>18</v>
      </c>
      <c r="I27" s="77">
        <f>I26/I7</f>
        <v>1.5650163680700002</v>
      </c>
      <c r="J27" s="77">
        <f t="shared" ref="J27:L27" si="3">J26/J7</f>
        <v>1.1369586889400001</v>
      </c>
      <c r="K27" s="77">
        <f t="shared" si="3"/>
        <v>1.0112736827083333</v>
      </c>
      <c r="L27" s="77">
        <f t="shared" si="3"/>
        <v>0.95986106099000001</v>
      </c>
      <c r="M27" s="4"/>
      <c r="N27" s="4"/>
      <c r="O27" s="4"/>
      <c r="P27" s="4"/>
    </row>
    <row r="28" spans="1:18" x14ac:dyDescent="0.25">
      <c r="G28" s="4">
        <v>0.63</v>
      </c>
      <c r="H28" s="7" t="s">
        <v>79</v>
      </c>
      <c r="I28" s="78">
        <f>$I$27/G28</f>
        <v>2.4841529651904763</v>
      </c>
      <c r="J28" s="78">
        <f>$J$27/G28</f>
        <v>1.8046963316507938</v>
      </c>
      <c r="K28" s="78">
        <f>$K$27/G28</f>
        <v>1.6051963217592591</v>
      </c>
      <c r="L28" s="78">
        <f>$L$27/G28</f>
        <v>1.5235889856984126</v>
      </c>
    </row>
    <row r="29" spans="1:18" x14ac:dyDescent="0.25">
      <c r="G29" s="4">
        <v>0.67500000000000004</v>
      </c>
      <c r="H29" s="7" t="s">
        <v>79</v>
      </c>
      <c r="I29" s="134">
        <f t="shared" ref="I29:I32" si="4">$I$27/G29</f>
        <v>2.3185427675111114</v>
      </c>
      <c r="J29" s="134">
        <f t="shared" ref="J29:J32" si="5">$J$27/G29</f>
        <v>1.6843832428740741</v>
      </c>
      <c r="K29" s="134">
        <f t="shared" ref="K29:K32" si="6">$K$27/G29</f>
        <v>1.4981832336419751</v>
      </c>
      <c r="L29" s="134">
        <f t="shared" ref="L29:L32" si="7">$L$27/G29</f>
        <v>1.4220163866518518</v>
      </c>
    </row>
    <row r="30" spans="1:18" x14ac:dyDescent="0.25">
      <c r="G30" s="4">
        <v>0.7</v>
      </c>
      <c r="H30" s="7" t="s">
        <v>79</v>
      </c>
      <c r="I30" s="203">
        <f t="shared" si="4"/>
        <v>2.2357376686714292</v>
      </c>
      <c r="J30" s="134">
        <f t="shared" si="5"/>
        <v>1.6242266984857145</v>
      </c>
      <c r="K30" s="134">
        <f t="shared" si="6"/>
        <v>1.4446766895833334</v>
      </c>
      <c r="L30" s="134">
        <f t="shared" si="7"/>
        <v>1.3712300871285716</v>
      </c>
    </row>
    <row r="31" spans="1:18" x14ac:dyDescent="0.25">
      <c r="G31" s="4">
        <v>0.72</v>
      </c>
      <c r="H31" s="7" t="s">
        <v>79</v>
      </c>
      <c r="I31" s="134">
        <f t="shared" si="4"/>
        <v>2.173633844541667</v>
      </c>
      <c r="J31" s="203">
        <f t="shared" si="5"/>
        <v>1.5791092901944446</v>
      </c>
      <c r="K31" s="134">
        <f t="shared" si="6"/>
        <v>1.4045467815393518</v>
      </c>
      <c r="L31" s="134">
        <f t="shared" si="7"/>
        <v>1.3331403624861111</v>
      </c>
    </row>
    <row r="32" spans="1:18" x14ac:dyDescent="0.25">
      <c r="G32" s="4">
        <v>0.74</v>
      </c>
      <c r="H32" s="7" t="s">
        <v>79</v>
      </c>
      <c r="I32" s="134">
        <f t="shared" si="4"/>
        <v>2.1148869838783786</v>
      </c>
      <c r="J32" s="134">
        <f t="shared" si="5"/>
        <v>1.5364306607297298</v>
      </c>
      <c r="K32" s="203">
        <f t="shared" si="6"/>
        <v>1.3665860577139639</v>
      </c>
      <c r="L32" s="203">
        <f t="shared" si="7"/>
        <v>1.2971095418783785</v>
      </c>
    </row>
    <row r="33" spans="1:40" x14ac:dyDescent="0.25">
      <c r="G33" s="4"/>
      <c r="H33" s="7" t="s">
        <v>80</v>
      </c>
      <c r="I33" s="79">
        <f>I29/3.23</f>
        <v>0.71781509830065371</v>
      </c>
      <c r="J33" s="79">
        <f>J30/3.23</f>
        <v>0.50285656299867321</v>
      </c>
      <c r="K33" s="79">
        <f>K31/3.23</f>
        <v>0.43484420481094482</v>
      </c>
      <c r="L33" s="79">
        <f>L32/3.23</f>
        <v>0.40158190151033391</v>
      </c>
    </row>
    <row r="34" spans="1:40" s="80" customFormat="1" x14ac:dyDescent="0.25">
      <c r="A34" s="226" t="s">
        <v>81</v>
      </c>
      <c r="B34" s="226"/>
      <c r="C34" s="226"/>
      <c r="Q34" s="226" t="s">
        <v>81</v>
      </c>
      <c r="R34" s="226"/>
      <c r="S34" s="226"/>
    </row>
    <row r="35" spans="1:40" s="24" customFormat="1" ht="18.75" x14ac:dyDescent="0.3">
      <c r="B35" s="81" t="s">
        <v>82</v>
      </c>
      <c r="C35" s="81"/>
      <c r="D35" s="81"/>
      <c r="E35" s="81"/>
      <c r="F35" s="81"/>
      <c r="G35" s="81"/>
      <c r="H35" s="81"/>
    </row>
    <row r="37" spans="1:40" ht="35.450000000000003" customHeight="1" thickBot="1" x14ac:dyDescent="0.35">
      <c r="B37" s="82" t="s">
        <v>0</v>
      </c>
      <c r="C37" s="24">
        <f>B8</f>
        <v>390</v>
      </c>
      <c r="D37" s="24">
        <f>C8</f>
        <v>150</v>
      </c>
      <c r="E37" s="24">
        <f>D8</f>
        <v>100</v>
      </c>
      <c r="F37" s="83">
        <f>C37+0.5*E37+23</f>
        <v>463</v>
      </c>
      <c r="G37" s="83">
        <v>113</v>
      </c>
      <c r="H37" s="84">
        <v>358.77499999999998</v>
      </c>
      <c r="I37" s="82"/>
      <c r="S37" s="255" t="s">
        <v>83</v>
      </c>
      <c r="T37" s="256"/>
      <c r="U37" s="256"/>
      <c r="V37" s="256"/>
      <c r="W37" s="256"/>
      <c r="X37" s="256"/>
      <c r="Y37" s="257"/>
      <c r="AB37" s="258" t="s">
        <v>84</v>
      </c>
      <c r="AC37" s="259"/>
      <c r="AD37" s="259"/>
      <c r="AE37" s="259"/>
      <c r="AF37" s="259"/>
      <c r="AG37" s="259"/>
      <c r="AH37" s="259"/>
      <c r="AI37" s="259"/>
      <c r="AJ37" s="259"/>
      <c r="AK37" s="259"/>
      <c r="AL37" s="259"/>
      <c r="AM37" s="259"/>
      <c r="AN37" s="260"/>
    </row>
    <row r="38" spans="1:40" ht="31.9" customHeight="1" thickBot="1" x14ac:dyDescent="0.3">
      <c r="B38" s="82"/>
      <c r="C38" s="82"/>
      <c r="D38" s="82"/>
      <c r="E38" s="82"/>
      <c r="F38" s="227" t="s">
        <v>85</v>
      </c>
      <c r="G38" s="228"/>
      <c r="H38" s="85" t="s">
        <v>2</v>
      </c>
      <c r="I38" s="86" t="s">
        <v>86</v>
      </c>
      <c r="J38" s="87" t="s">
        <v>87</v>
      </c>
      <c r="K38" s="4" t="s">
        <v>88</v>
      </c>
      <c r="L38" s="4" t="s">
        <v>89</v>
      </c>
      <c r="M38" s="88" t="s">
        <v>90</v>
      </c>
      <c r="N38" s="87" t="s">
        <v>91</v>
      </c>
      <c r="O38" s="4" t="s">
        <v>92</v>
      </c>
      <c r="P38" s="89" t="s">
        <v>3</v>
      </c>
      <c r="Q38" s="90" t="s">
        <v>93</v>
      </c>
      <c r="S38" s="237" t="s">
        <v>94</v>
      </c>
      <c r="T38" s="237" t="s">
        <v>95</v>
      </c>
      <c r="U38" s="261" t="s">
        <v>96</v>
      </c>
      <c r="W38" s="237" t="s">
        <v>94</v>
      </c>
      <c r="X38" s="237" t="s">
        <v>95</v>
      </c>
      <c r="Y38" s="261" t="s">
        <v>97</v>
      </c>
      <c r="AB38" s="91" t="s">
        <v>98</v>
      </c>
      <c r="AC38" s="92" t="s">
        <v>99</v>
      </c>
      <c r="AD38" s="87" t="s">
        <v>100</v>
      </c>
      <c r="AE38" s="93" t="s">
        <v>101</v>
      </c>
      <c r="AF38" s="93" t="s">
        <v>102</v>
      </c>
      <c r="AG38" s="93" t="s">
        <v>103</v>
      </c>
      <c r="AH38" s="93" t="s">
        <v>104</v>
      </c>
      <c r="AI38" s="94" t="s">
        <v>105</v>
      </c>
      <c r="AJ38" s="94" t="s">
        <v>106</v>
      </c>
      <c r="AK38" s="95" t="s">
        <v>107</v>
      </c>
      <c r="AL38" s="93" t="s">
        <v>107</v>
      </c>
      <c r="AM38" s="95" t="s">
        <v>107</v>
      </c>
      <c r="AN38" s="95" t="s">
        <v>107</v>
      </c>
    </row>
    <row r="39" spans="1:40" ht="13.9" customHeight="1" thickBot="1" x14ac:dyDescent="0.3">
      <c r="B39" s="96" t="s">
        <v>108</v>
      </c>
      <c r="C39" s="97" t="s">
        <v>5</v>
      </c>
      <c r="D39" s="83" t="s">
        <v>6</v>
      </c>
      <c r="E39" s="83" t="s">
        <v>7</v>
      </c>
      <c r="F39" s="83" t="s">
        <v>109</v>
      </c>
      <c r="G39" s="83" t="s">
        <v>110</v>
      </c>
      <c r="H39" s="98" t="str">
        <f>E8</f>
        <v>Art Card 190</v>
      </c>
      <c r="I39" s="83"/>
      <c r="J39" s="85" t="s">
        <v>111</v>
      </c>
      <c r="L39" s="85"/>
      <c r="M39" s="85"/>
      <c r="N39" s="83"/>
      <c r="O39" s="86"/>
      <c r="P39" s="83"/>
      <c r="S39" s="238"/>
      <c r="T39" s="238"/>
      <c r="U39" s="262"/>
      <c r="W39" s="238"/>
      <c r="X39" s="238"/>
      <c r="Y39" s="262"/>
      <c r="AB39" s="4"/>
      <c r="AC39" s="4"/>
      <c r="AD39" s="5" t="str">
        <f>H96</f>
        <v>process 4c x 0c</v>
      </c>
      <c r="AE39" s="4"/>
      <c r="AF39" s="4"/>
      <c r="AG39" s="4"/>
      <c r="AH39" s="4"/>
      <c r="AI39" s="4"/>
      <c r="AJ39" s="4"/>
      <c r="AK39" s="4" t="str">
        <f>B39</f>
        <v>1X1Y</v>
      </c>
      <c r="AL39" s="4" t="str">
        <f>B48</f>
        <v>0.5X2Y</v>
      </c>
      <c r="AM39" s="4" t="str">
        <f>B57</f>
        <v>0.5X1Y</v>
      </c>
      <c r="AN39" s="4" t="str">
        <f>B66</f>
        <v>1X2Y</v>
      </c>
    </row>
    <row r="40" spans="1:40" x14ac:dyDescent="0.25">
      <c r="B40" s="99" t="s">
        <v>0</v>
      </c>
      <c r="C40" s="100">
        <f>$C$37/1000</f>
        <v>0.39</v>
      </c>
      <c r="D40" s="100">
        <f>$D$37/1000</f>
        <v>0.15</v>
      </c>
      <c r="E40" s="100">
        <f>$E$37/1000</f>
        <v>0.1</v>
      </c>
      <c r="F40" s="101">
        <f>2*(D40+E40)+0.035</f>
        <v>0.53500000000000003</v>
      </c>
      <c r="G40" s="101">
        <f>C40+0.7*(E40)+0.015+0.055</f>
        <v>0.53</v>
      </c>
      <c r="H40" s="50">
        <f>VLOOKUP(H39,$H$74:$I$86,2,FALSE)</f>
        <v>0.19</v>
      </c>
      <c r="I40" s="102">
        <f>I7</f>
        <v>1000</v>
      </c>
      <c r="J40" s="103" t="b">
        <f>AND(F40&gt;=0.533,F40&lt;=1.025,G40&gt;=0.318,G40&lt;=0.698)</f>
        <v>1</v>
      </c>
      <c r="K40" s="104">
        <f>IF(J40,1,0)</f>
        <v>1</v>
      </c>
      <c r="L40" s="105">
        <f>VLOOKUP(I40,$S$40:$U$69,3,TRUE)</f>
        <v>0.28000000000000003</v>
      </c>
      <c r="M40" s="105">
        <f>VLOOKUP(I40,$W$40:$Y$69,3,TRUE)</f>
        <v>0.18</v>
      </c>
      <c r="N40" s="106">
        <f>IF(J40=FALSE,0,F40*G40*H40*I40*(1+L40+M40)/K40)</f>
        <v>78.656770000000009</v>
      </c>
      <c r="O40" s="107">
        <f>VLOOKUP(H39,$H$74:$J$86,3,FALSE)</f>
        <v>3.45</v>
      </c>
      <c r="P40" s="106">
        <f>IF(J40=FALSE,0,N40*O40)</f>
        <v>271.36585650000006</v>
      </c>
      <c r="Q40" s="108">
        <f>SUM(P40,P49,P58,P67)/MAX(1,SUM((P40&gt;0)+(P49&gt;0)+(P58&gt;0)+(P67&gt;0)))</f>
        <v>271.36585650000006</v>
      </c>
      <c r="S40" s="109">
        <v>100</v>
      </c>
      <c r="T40" s="4">
        <v>199</v>
      </c>
      <c r="U40" s="110">
        <v>2</v>
      </c>
      <c r="W40" s="3">
        <v>100</v>
      </c>
      <c r="X40" s="4">
        <v>199</v>
      </c>
      <c r="Y40" s="110">
        <v>0.3</v>
      </c>
      <c r="AB40" s="111">
        <f t="shared" ref="AB40:AC86" si="8">S40</f>
        <v>100</v>
      </c>
      <c r="AC40" s="9">
        <f t="shared" si="8"/>
        <v>199</v>
      </c>
      <c r="AD40" s="21">
        <f t="shared" ref="AD40:AD86" si="9">AG40+AJ40</f>
        <v>238.79999999999998</v>
      </c>
      <c r="AE40" s="39">
        <f>IF(AD39="Plain 0c x 0c",0,IF(AD39="process 4c x 0c",4,IF(OR(AD39="1 spot up to 33%",AD39="1 spot up to 67%",AD39="1 spot up to 100%"),0,IF(OR(AD39="2 spot up to 33%",AD39="2 spot up to 67%",AD39="2 spot up to 100%"),0,IF(OR(AD39="3 spot up to 33%",AD39="3 spot up to 67%",AD39="3 spot up to 100%"),0,IF(AD39="5c=process 4cx0c+1c spot 33%",4,IF(AD39="6c=process 4cx0c+2c spot 33%",4,"")))))))</f>
        <v>4</v>
      </c>
      <c r="AF40" s="39">
        <v>0.3</v>
      </c>
      <c r="AG40" s="112">
        <f t="shared" ref="AG40:AG86" si="10">AC40*AE40*AF40</f>
        <v>238.79999999999998</v>
      </c>
      <c r="AH40" s="4">
        <f>IF(AD39="Plain 0c x 0c",0,IF(AD39="process 4c x 0c",0,IF(OR(AD39="1 spot up to 33%",AD39="1 spot up to 67%",AD39="1 spot up to 100%"),1,IF(OR(AD39="2 spot up to 33%",AD39="2 spot up to 67%",AD39="2 spot up to 100%"),2,IF(OR(AD39="3 spot up to 33%",AD39="3 spot up to 67%",AD39="3 spot up to 100%"),3,IF(AD39="5c=process 4cx0c+1c spot 33%",1,IF(AD39="6c=process 4cx0c+2c spot 33%",2,"")))))))</f>
        <v>0</v>
      </c>
      <c r="AI40" s="4">
        <v>0.3</v>
      </c>
      <c r="AJ40" s="113">
        <f t="shared" ref="AJ40:AJ65" si="11">AC40*AH40*AI40</f>
        <v>0</v>
      </c>
      <c r="AK40" s="4"/>
      <c r="AL40" s="4"/>
      <c r="AM40" s="4"/>
      <c r="AN40" s="4"/>
    </row>
    <row r="41" spans="1:40" x14ac:dyDescent="0.25">
      <c r="B41" s="82"/>
      <c r="C41" s="100">
        <f>$C$37/1000</f>
        <v>0.39</v>
      </c>
      <c r="D41" s="100">
        <f>$D$37/1000</f>
        <v>0.15</v>
      </c>
      <c r="E41" s="100">
        <f>$E$37/1000</f>
        <v>0.1</v>
      </c>
      <c r="F41" s="101">
        <f>2*(D41+E41)+0.035</f>
        <v>0.53500000000000003</v>
      </c>
      <c r="G41" s="101">
        <f>C41+0.7*(E41)+0.015+0.055</f>
        <v>0.53</v>
      </c>
      <c r="H41" s="4">
        <f>H40</f>
        <v>0.19</v>
      </c>
      <c r="I41" s="102">
        <f>J7</f>
        <v>2000</v>
      </c>
      <c r="J41" s="103" t="b">
        <f>AND(F41&gt;=0.533,F41&lt;=1.025,G41&gt;=0.318,G41&lt;=0.698)</f>
        <v>1</v>
      </c>
      <c r="K41" s="104">
        <f>IF(J41,1,0)</f>
        <v>1</v>
      </c>
      <c r="L41" s="105">
        <f>VLOOKUP(I41,$S$40:$U$69,3,TRUE)</f>
        <v>0.2</v>
      </c>
      <c r="M41" s="105">
        <f>VLOOKUP(I41,$W$40:$Y$69,3,TRUE)</f>
        <v>0.12</v>
      </c>
      <c r="N41" s="106">
        <f>IF(J41=FALSE,0,F41*G41*H41*I41*(1+L41+M41)/K41)</f>
        <v>142.22868</v>
      </c>
      <c r="O41" s="86">
        <f>O40</f>
        <v>3.45</v>
      </c>
      <c r="P41" s="106">
        <f>IF(J41=FALSE,0,N41*O41)</f>
        <v>490.68894599999999</v>
      </c>
      <c r="Q41" s="108">
        <f>SUM(P41,P50,P59,P68)/MAX(1,SUM((P41&gt;0)+(P50&gt;0)+(P59&gt;0)+(P68&gt;0)))</f>
        <v>490.68894599999999</v>
      </c>
      <c r="S41" s="114">
        <v>200</v>
      </c>
      <c r="T41" s="4">
        <v>299</v>
      </c>
      <c r="U41" s="110">
        <v>1</v>
      </c>
      <c r="W41" s="4">
        <v>200</v>
      </c>
      <c r="X41" s="4">
        <v>299</v>
      </c>
      <c r="Y41" s="110">
        <v>0.28999999999999998</v>
      </c>
      <c r="AB41" s="9">
        <f t="shared" si="8"/>
        <v>200</v>
      </c>
      <c r="AC41" s="9">
        <f t="shared" si="8"/>
        <v>299</v>
      </c>
      <c r="AD41" s="21">
        <f t="shared" si="9"/>
        <v>239.20000000000002</v>
      </c>
      <c r="AE41" s="39">
        <f>AE40</f>
        <v>4</v>
      </c>
      <c r="AF41" s="39">
        <v>0.2</v>
      </c>
      <c r="AG41" s="112">
        <f t="shared" si="10"/>
        <v>239.20000000000002</v>
      </c>
      <c r="AH41" s="4">
        <f>AH40</f>
        <v>0</v>
      </c>
      <c r="AI41" s="4">
        <v>0.2</v>
      </c>
      <c r="AJ41" s="113">
        <f t="shared" si="11"/>
        <v>0</v>
      </c>
      <c r="AK41" s="4"/>
      <c r="AL41" s="4"/>
      <c r="AM41" s="4"/>
      <c r="AN41" s="4"/>
    </row>
    <row r="42" spans="1:40" x14ac:dyDescent="0.25">
      <c r="B42" s="82"/>
      <c r="C42" s="100">
        <f>$C$37/1000</f>
        <v>0.39</v>
      </c>
      <c r="D42" s="100">
        <f>$D$37/1000</f>
        <v>0.15</v>
      </c>
      <c r="E42" s="100">
        <f>$E$37/1000</f>
        <v>0.1</v>
      </c>
      <c r="F42" s="101">
        <f>2*(D42+E42)+0.035</f>
        <v>0.53500000000000003</v>
      </c>
      <c r="G42" s="101">
        <f>C42+0.7*(E42)+0.015+0.055</f>
        <v>0.53</v>
      </c>
      <c r="H42" s="4">
        <f>H40</f>
        <v>0.19</v>
      </c>
      <c r="I42" s="102">
        <f>K7</f>
        <v>3000</v>
      </c>
      <c r="J42" s="103" t="b">
        <f>AND(F42&gt;=0.533,F42&lt;=1.025,G42&gt;=0.318,G42&lt;=0.698)</f>
        <v>1</v>
      </c>
      <c r="K42" s="104">
        <f>IF(J42,1,0)</f>
        <v>1</v>
      </c>
      <c r="L42" s="105">
        <f>VLOOKUP(I42,$S$40:$U$69,3,TRUE)</f>
        <v>0.16</v>
      </c>
      <c r="M42" s="105">
        <f>VLOOKUP(I42,$W$40:$Y$69,3,TRUE)</f>
        <v>0.09</v>
      </c>
      <c r="N42" s="106">
        <f>IF(J42=FALSE,0,F42*G42*H42*I42*(1+L42+M42)/K42)</f>
        <v>202.02937500000002</v>
      </c>
      <c r="O42" s="86">
        <f>O40</f>
        <v>3.45</v>
      </c>
      <c r="P42" s="106">
        <f>IF(J42=FALSE,0,N42*O42)</f>
        <v>697.00134375000005</v>
      </c>
      <c r="Q42" s="108">
        <f>SUM(P42,P51,P60,P69)/MAX(1,SUM((P42&gt;0)+(P51&gt;0)+(P60&gt;0)+(P69&gt;0)))</f>
        <v>697.00134375000005</v>
      </c>
      <c r="S42" s="114">
        <v>300</v>
      </c>
      <c r="T42" s="4">
        <v>399</v>
      </c>
      <c r="U42" s="110">
        <v>0.7</v>
      </c>
      <c r="W42" s="4">
        <v>300</v>
      </c>
      <c r="X42" s="4">
        <v>399</v>
      </c>
      <c r="Y42" s="110">
        <v>0.28000000000000003</v>
      </c>
      <c r="AB42" s="9">
        <f t="shared" si="8"/>
        <v>300</v>
      </c>
      <c r="AC42" s="9">
        <f t="shared" si="8"/>
        <v>399</v>
      </c>
      <c r="AD42" s="21">
        <f t="shared" si="9"/>
        <v>231.42</v>
      </c>
      <c r="AE42" s="39">
        <f>AE40</f>
        <v>4</v>
      </c>
      <c r="AF42" s="39">
        <v>0.14499999999999999</v>
      </c>
      <c r="AG42" s="112">
        <f t="shared" si="10"/>
        <v>231.42</v>
      </c>
      <c r="AH42" s="4">
        <f>AH40</f>
        <v>0</v>
      </c>
      <c r="AI42" s="4">
        <v>0.15</v>
      </c>
      <c r="AJ42" s="113">
        <f t="shared" si="11"/>
        <v>0</v>
      </c>
      <c r="AK42" s="4"/>
      <c r="AL42" s="4"/>
      <c r="AM42" s="4"/>
      <c r="AN42" s="4"/>
    </row>
    <row r="43" spans="1:40" x14ac:dyDescent="0.25">
      <c r="B43" s="82"/>
      <c r="C43" s="100">
        <f>$C$37/1000</f>
        <v>0.39</v>
      </c>
      <c r="D43" s="100">
        <f>$D$37/1000</f>
        <v>0.15</v>
      </c>
      <c r="E43" s="100">
        <f>$E$37/1000</f>
        <v>0.1</v>
      </c>
      <c r="F43" s="101">
        <f>2*(D43+E43)+0.035</f>
        <v>0.53500000000000003</v>
      </c>
      <c r="G43" s="101">
        <f>C43+0.7*(E43)+0.015+0.055</f>
        <v>0.53</v>
      </c>
      <c r="H43" s="4">
        <f>H40</f>
        <v>0.19</v>
      </c>
      <c r="I43" s="102">
        <f>L7</f>
        <v>4000</v>
      </c>
      <c r="J43" s="103" t="b">
        <f>AND(F43&gt;=0.533,F43&lt;=1.025,G43&gt;=0.318,G43&lt;=0.698)</f>
        <v>1</v>
      </c>
      <c r="K43" s="104">
        <f>IF(J43,1,0)</f>
        <v>1</v>
      </c>
      <c r="L43" s="105">
        <f>VLOOKUP(I43,$S$40:$U$69,3,TRUE)</f>
        <v>0.14000000000000001</v>
      </c>
      <c r="M43" s="105">
        <f>VLOOKUP(I43,$W$40:$Y$69,3,TRUE)</f>
        <v>0.08</v>
      </c>
      <c r="N43" s="106">
        <f>IF(J43=FALSE,0,F43*G43*H43*I43*(1+L43+M43)/K43)</f>
        <v>262.90756000000005</v>
      </c>
      <c r="O43" s="86">
        <f>O40</f>
        <v>3.45</v>
      </c>
      <c r="P43" s="106">
        <f>IF(J43=FALSE,0,N43*O43)</f>
        <v>907.0310820000002</v>
      </c>
      <c r="Q43" s="108">
        <f>SUM(P43,P52,P61,P70)/MAX(1,SUM((P43&gt;0)+(P52&gt;0)+(P61&gt;0)+(P70&gt;0)))</f>
        <v>907.0310820000002</v>
      </c>
      <c r="S43" s="114">
        <v>400</v>
      </c>
      <c r="T43" s="4">
        <v>499</v>
      </c>
      <c r="U43" s="110">
        <v>0.5</v>
      </c>
      <c r="W43" s="4">
        <v>400</v>
      </c>
      <c r="X43" s="4">
        <v>499</v>
      </c>
      <c r="Y43" s="110">
        <v>0.27</v>
      </c>
      <c r="AB43" s="9">
        <f t="shared" si="8"/>
        <v>400</v>
      </c>
      <c r="AC43" s="9">
        <f t="shared" si="8"/>
        <v>499</v>
      </c>
      <c r="AD43" s="21">
        <f t="shared" si="9"/>
        <v>229.54000000000002</v>
      </c>
      <c r="AE43" s="39">
        <f>AE40</f>
        <v>4</v>
      </c>
      <c r="AF43" s="39">
        <v>0.115</v>
      </c>
      <c r="AG43" s="112">
        <f t="shared" si="10"/>
        <v>229.54000000000002</v>
      </c>
      <c r="AH43" s="4">
        <f>AH40</f>
        <v>0</v>
      </c>
      <c r="AI43" s="4">
        <v>0.12</v>
      </c>
      <c r="AJ43" s="113">
        <f t="shared" si="11"/>
        <v>0</v>
      </c>
      <c r="AK43" s="4"/>
      <c r="AL43" s="4"/>
      <c r="AM43" s="4"/>
      <c r="AN43" s="4"/>
    </row>
    <row r="44" spans="1:40" x14ac:dyDescent="0.25">
      <c r="S44" s="114">
        <v>500</v>
      </c>
      <c r="T44" s="4">
        <v>599</v>
      </c>
      <c r="U44" s="110">
        <v>0.45</v>
      </c>
      <c r="W44" s="4">
        <v>500</v>
      </c>
      <c r="X44" s="4">
        <v>599</v>
      </c>
      <c r="Y44" s="110">
        <v>0.25</v>
      </c>
      <c r="AB44" s="9">
        <f t="shared" si="8"/>
        <v>500</v>
      </c>
      <c r="AC44" s="9">
        <f t="shared" si="8"/>
        <v>599</v>
      </c>
      <c r="AD44" s="21">
        <f t="shared" si="9"/>
        <v>249.184</v>
      </c>
      <c r="AE44" s="39">
        <f>AE40</f>
        <v>4</v>
      </c>
      <c r="AF44" s="39">
        <v>0.104</v>
      </c>
      <c r="AG44" s="112">
        <f t="shared" si="10"/>
        <v>249.184</v>
      </c>
      <c r="AH44" s="4">
        <f>AH40</f>
        <v>0</v>
      </c>
      <c r="AI44" s="4">
        <v>0.1</v>
      </c>
      <c r="AJ44" s="113">
        <f t="shared" si="11"/>
        <v>0</v>
      </c>
      <c r="AK44" s="4"/>
      <c r="AL44" s="4"/>
      <c r="AM44" s="4"/>
      <c r="AN44" s="4"/>
    </row>
    <row r="45" spans="1:40" ht="15.75" thickBot="1" x14ac:dyDescent="0.3">
      <c r="S45" s="114">
        <v>600</v>
      </c>
      <c r="T45" s="4">
        <v>699</v>
      </c>
      <c r="U45" s="110">
        <v>0.4</v>
      </c>
      <c r="W45" s="4">
        <v>600</v>
      </c>
      <c r="X45" s="4">
        <v>699</v>
      </c>
      <c r="Y45" s="110">
        <v>0.23</v>
      </c>
      <c r="AB45" s="9">
        <f t="shared" si="8"/>
        <v>600</v>
      </c>
      <c r="AC45" s="9">
        <f t="shared" si="8"/>
        <v>699</v>
      </c>
      <c r="AD45" s="21">
        <f t="shared" si="9"/>
        <v>248.84399999999999</v>
      </c>
      <c r="AE45" s="39">
        <f>AE40</f>
        <v>4</v>
      </c>
      <c r="AF45" s="39">
        <v>8.8999999999999996E-2</v>
      </c>
      <c r="AG45" s="112">
        <f t="shared" si="10"/>
        <v>248.84399999999999</v>
      </c>
      <c r="AH45" s="4">
        <f>AH40</f>
        <v>0</v>
      </c>
      <c r="AI45" s="4">
        <v>0.1</v>
      </c>
      <c r="AJ45" s="113">
        <f t="shared" si="11"/>
        <v>0</v>
      </c>
      <c r="AK45" s="4"/>
      <c r="AL45" s="4"/>
      <c r="AM45" s="4"/>
      <c r="AN45" s="4"/>
    </row>
    <row r="46" spans="1:40" ht="15" customHeight="1" thickBot="1" x14ac:dyDescent="0.3">
      <c r="B46" s="82" t="s">
        <v>0</v>
      </c>
      <c r="C46" s="83">
        <f>C37</f>
        <v>390</v>
      </c>
      <c r="D46" s="115">
        <f>D37</f>
        <v>150</v>
      </c>
      <c r="E46" s="83">
        <f>E37</f>
        <v>100</v>
      </c>
      <c r="F46" s="116">
        <f>C46+0.5*E46+23</f>
        <v>463</v>
      </c>
      <c r="G46" s="117">
        <v>113</v>
      </c>
      <c r="H46" s="118">
        <v>358.77499999999998</v>
      </c>
      <c r="I46" s="82"/>
      <c r="S46" s="114">
        <v>700</v>
      </c>
      <c r="T46" s="4">
        <v>799</v>
      </c>
      <c r="U46" s="110">
        <v>0.35</v>
      </c>
      <c r="W46" s="4">
        <v>700</v>
      </c>
      <c r="X46" s="4">
        <v>799</v>
      </c>
      <c r="Y46" s="110">
        <v>0.21</v>
      </c>
      <c r="AB46" s="9">
        <f t="shared" si="8"/>
        <v>700</v>
      </c>
      <c r="AC46" s="9">
        <f t="shared" si="8"/>
        <v>799</v>
      </c>
      <c r="AD46" s="21">
        <f t="shared" si="9"/>
        <v>258.87600000000003</v>
      </c>
      <c r="AE46" s="39">
        <f>AE40</f>
        <v>4</v>
      </c>
      <c r="AF46" s="39">
        <v>8.1000000000000003E-2</v>
      </c>
      <c r="AG46" s="112">
        <f t="shared" si="10"/>
        <v>258.87600000000003</v>
      </c>
      <c r="AH46" s="4">
        <f>AH40</f>
        <v>0</v>
      </c>
      <c r="AI46" s="4">
        <v>0.09</v>
      </c>
      <c r="AJ46" s="113">
        <f t="shared" si="11"/>
        <v>0</v>
      </c>
      <c r="AK46" s="4"/>
      <c r="AL46" s="4"/>
      <c r="AM46" s="4"/>
      <c r="AN46" s="4"/>
    </row>
    <row r="47" spans="1:40" ht="15.75" thickBot="1" x14ac:dyDescent="0.3">
      <c r="B47" s="82"/>
      <c r="C47" s="82"/>
      <c r="D47" s="82"/>
      <c r="E47" s="82"/>
      <c r="F47" s="229" t="s">
        <v>112</v>
      </c>
      <c r="G47" s="230"/>
      <c r="H47" s="82" t="s">
        <v>2</v>
      </c>
      <c r="I47" s="119" t="s">
        <v>86</v>
      </c>
      <c r="J47" s="4" t="s">
        <v>113</v>
      </c>
      <c r="K47" s="4"/>
      <c r="L47" s="4" t="s">
        <v>89</v>
      </c>
      <c r="M47" s="88" t="s">
        <v>90</v>
      </c>
      <c r="N47" s="87" t="s">
        <v>91</v>
      </c>
      <c r="O47" s="4" t="s">
        <v>92</v>
      </c>
      <c r="P47" s="95" t="s">
        <v>3</v>
      </c>
      <c r="S47" s="114">
        <v>800</v>
      </c>
      <c r="T47" s="4">
        <v>899</v>
      </c>
      <c r="U47" s="110">
        <v>0.32</v>
      </c>
      <c r="W47" s="4">
        <v>800</v>
      </c>
      <c r="X47" s="4">
        <v>899</v>
      </c>
      <c r="Y47" s="110">
        <v>0.2</v>
      </c>
      <c r="AB47" s="9">
        <f t="shared" si="8"/>
        <v>800</v>
      </c>
      <c r="AC47" s="9">
        <f t="shared" si="8"/>
        <v>899</v>
      </c>
      <c r="AD47" s="21">
        <f t="shared" si="9"/>
        <v>262.50799999999998</v>
      </c>
      <c r="AE47" s="39">
        <f>AE40</f>
        <v>4</v>
      </c>
      <c r="AF47" s="39">
        <v>7.2999999999999995E-2</v>
      </c>
      <c r="AG47" s="112">
        <f t="shared" si="10"/>
        <v>262.50799999999998</v>
      </c>
      <c r="AH47" s="4">
        <f>AH40</f>
        <v>0</v>
      </c>
      <c r="AI47" s="4">
        <v>0.08</v>
      </c>
      <c r="AJ47" s="113">
        <f t="shared" si="11"/>
        <v>0</v>
      </c>
      <c r="AK47" s="4"/>
      <c r="AL47" s="4"/>
      <c r="AM47" s="4"/>
      <c r="AN47" s="4"/>
    </row>
    <row r="48" spans="1:40" ht="15.75" thickBot="1" x14ac:dyDescent="0.3">
      <c r="B48" s="96" t="s">
        <v>114</v>
      </c>
      <c r="C48" s="97" t="s">
        <v>5</v>
      </c>
      <c r="D48" s="83" t="s">
        <v>6</v>
      </c>
      <c r="E48" s="83" t="s">
        <v>7</v>
      </c>
      <c r="F48" s="83" t="s">
        <v>115</v>
      </c>
      <c r="G48" s="83" t="s">
        <v>116</v>
      </c>
      <c r="H48" s="5" t="str">
        <f>H39</f>
        <v>Art Card 190</v>
      </c>
      <c r="I48" s="83"/>
      <c r="J48" s="85"/>
      <c r="K48" s="85"/>
      <c r="L48" s="85"/>
      <c r="M48" s="85"/>
      <c r="N48" s="83"/>
      <c r="O48" s="86"/>
      <c r="P48" s="83"/>
      <c r="S48" s="114">
        <v>900</v>
      </c>
      <c r="T48" s="4">
        <v>999</v>
      </c>
      <c r="U48" s="110">
        <v>0.3</v>
      </c>
      <c r="W48" s="4">
        <v>900</v>
      </c>
      <c r="X48" s="4">
        <v>999</v>
      </c>
      <c r="Y48" s="110">
        <v>0.19</v>
      </c>
      <c r="AB48" s="9">
        <f t="shared" si="8"/>
        <v>900</v>
      </c>
      <c r="AC48" s="9">
        <f t="shared" si="8"/>
        <v>999</v>
      </c>
      <c r="AD48" s="21">
        <f t="shared" si="9"/>
        <v>259.74</v>
      </c>
      <c r="AE48" s="39">
        <f>AE40</f>
        <v>4</v>
      </c>
      <c r="AF48" s="39">
        <v>6.5000000000000002E-2</v>
      </c>
      <c r="AG48" s="112">
        <f t="shared" si="10"/>
        <v>259.74</v>
      </c>
      <c r="AH48" s="4">
        <f>AH40</f>
        <v>0</v>
      </c>
      <c r="AI48" s="4">
        <v>7.4999999999999997E-2</v>
      </c>
      <c r="AJ48" s="113">
        <f t="shared" si="11"/>
        <v>0</v>
      </c>
      <c r="AK48" s="4"/>
      <c r="AL48" s="4"/>
      <c r="AM48" s="4"/>
      <c r="AN48" s="4"/>
    </row>
    <row r="49" spans="2:40" x14ac:dyDescent="0.25">
      <c r="B49" s="99" t="s">
        <v>0</v>
      </c>
      <c r="C49" s="100">
        <f>$C$37/1000</f>
        <v>0.39</v>
      </c>
      <c r="D49" s="100">
        <f>$D$37/1000</f>
        <v>0.15</v>
      </c>
      <c r="E49" s="100">
        <f>$E$37/1000</f>
        <v>0.1</v>
      </c>
      <c r="F49" s="101">
        <f>1*(D49+E49)+0.035</f>
        <v>0.28500000000000003</v>
      </c>
      <c r="G49" s="101">
        <f>2*(C49+0.7*(E49)+0.055)</f>
        <v>1.03</v>
      </c>
      <c r="H49" s="120">
        <f>H40</f>
        <v>0.19</v>
      </c>
      <c r="I49" s="121">
        <f>I40</f>
        <v>1000</v>
      </c>
      <c r="J49" s="122" t="b">
        <f>AND(F49&gt;=0.318,F49&lt;=0.698,G49&gt;=0.533,G49&lt;=1.025)</f>
        <v>0</v>
      </c>
      <c r="K49" s="122">
        <f>IF(J49,1,0)</f>
        <v>0</v>
      </c>
      <c r="L49" s="105">
        <f>VLOOKUP(I49,$S$40:$U$69,3,TRUE)</f>
        <v>0.28000000000000003</v>
      </c>
      <c r="M49" s="105">
        <f>VLOOKUP(I49,$W$40:$Y$69,3,TRUE)</f>
        <v>0.18</v>
      </c>
      <c r="N49" s="106">
        <f>IF(J49=FALSE,0,F49*G49*H49*I49*(1+L49+M49)/K49)</f>
        <v>0</v>
      </c>
      <c r="O49" s="86">
        <f>O40</f>
        <v>3.45</v>
      </c>
      <c r="P49" s="106">
        <f>IF(J49=FALSE,0,N49*O49)</f>
        <v>0</v>
      </c>
      <c r="S49" s="114">
        <v>1000</v>
      </c>
      <c r="T49" s="4">
        <v>1200</v>
      </c>
      <c r="U49" s="110">
        <v>0.28000000000000003</v>
      </c>
      <c r="W49" s="4">
        <v>1000</v>
      </c>
      <c r="X49" s="4">
        <v>1200</v>
      </c>
      <c r="Y49" s="110">
        <v>0.18</v>
      </c>
      <c r="AB49" s="9">
        <f t="shared" si="8"/>
        <v>1000</v>
      </c>
      <c r="AC49" s="9">
        <f t="shared" si="8"/>
        <v>1200</v>
      </c>
      <c r="AD49" s="21">
        <f t="shared" si="9"/>
        <v>278.40000000000003</v>
      </c>
      <c r="AE49" s="39">
        <f>AE40</f>
        <v>4</v>
      </c>
      <c r="AF49" s="39">
        <v>5.8000000000000003E-2</v>
      </c>
      <c r="AG49" s="112">
        <f t="shared" si="10"/>
        <v>278.40000000000003</v>
      </c>
      <c r="AH49" s="4">
        <f>AH40</f>
        <v>0</v>
      </c>
      <c r="AI49" s="4">
        <v>6.5000000000000002E-2</v>
      </c>
      <c r="AJ49" s="113">
        <f t="shared" si="11"/>
        <v>0</v>
      </c>
      <c r="AK49" s="4"/>
      <c r="AL49" s="4"/>
      <c r="AM49" s="4"/>
      <c r="AN49" s="4"/>
    </row>
    <row r="50" spans="2:40" x14ac:dyDescent="0.25">
      <c r="B50" s="82"/>
      <c r="C50" s="100">
        <f>$C$37/1000</f>
        <v>0.39</v>
      </c>
      <c r="D50" s="100">
        <f>$D$37/1000</f>
        <v>0.15</v>
      </c>
      <c r="E50" s="100">
        <f>$E$37/1000</f>
        <v>0.1</v>
      </c>
      <c r="F50" s="101">
        <f>1*(D50+E50)+0.035</f>
        <v>0.28500000000000003</v>
      </c>
      <c r="G50" s="101">
        <f>2*(C50+0.7*(E50)+0.055)</f>
        <v>1.03</v>
      </c>
      <c r="H50" s="83">
        <f>H49</f>
        <v>0.19</v>
      </c>
      <c r="I50" s="121">
        <f>I41</f>
        <v>2000</v>
      </c>
      <c r="J50" s="122" t="b">
        <f>AND(F50&gt;=0.318,F50&lt;=0.698,G50&gt;=0.533,G50&lt;=1.025)</f>
        <v>0</v>
      </c>
      <c r="K50" s="122">
        <f>IF(J50,1,0)</f>
        <v>0</v>
      </c>
      <c r="L50" s="105">
        <f>VLOOKUP(I50,$S$40:$U$69,3,TRUE)</f>
        <v>0.2</v>
      </c>
      <c r="M50" s="105">
        <f>VLOOKUP(I50,$W$40:$Y$69,3,TRUE)</f>
        <v>0.12</v>
      </c>
      <c r="N50" s="106">
        <f>IF(J50=FALSE,0,F50*G50*H50*I50*(1+L50+M50)/K50)</f>
        <v>0</v>
      </c>
      <c r="O50" s="86">
        <f>O49</f>
        <v>3.45</v>
      </c>
      <c r="P50" s="106">
        <f>IF(J50=FALSE,0,N50*O50)</f>
        <v>0</v>
      </c>
      <c r="S50" s="114">
        <v>1201</v>
      </c>
      <c r="T50" s="4">
        <v>1400</v>
      </c>
      <c r="U50" s="110">
        <v>0.26</v>
      </c>
      <c r="W50" s="4">
        <v>1201</v>
      </c>
      <c r="X50" s="4">
        <v>1400</v>
      </c>
      <c r="Y50" s="110">
        <v>0.16</v>
      </c>
      <c r="AB50" s="9">
        <f t="shared" si="8"/>
        <v>1201</v>
      </c>
      <c r="AC50" s="9">
        <f t="shared" si="8"/>
        <v>1400</v>
      </c>
      <c r="AD50" s="21">
        <f t="shared" si="9"/>
        <v>280</v>
      </c>
      <c r="AE50" s="39">
        <f>AE40</f>
        <v>4</v>
      </c>
      <c r="AF50" s="39">
        <v>0.05</v>
      </c>
      <c r="AG50" s="112">
        <f t="shared" si="10"/>
        <v>280</v>
      </c>
      <c r="AH50" s="4">
        <f>AH40</f>
        <v>0</v>
      </c>
      <c r="AI50" s="4">
        <v>6.3E-2</v>
      </c>
      <c r="AJ50" s="113">
        <f t="shared" si="11"/>
        <v>0</v>
      </c>
      <c r="AK50" s="4"/>
      <c r="AL50" s="4"/>
      <c r="AM50" s="4"/>
      <c r="AN50" s="4"/>
    </row>
    <row r="51" spans="2:40" x14ac:dyDescent="0.25">
      <c r="B51" s="82"/>
      <c r="C51" s="100">
        <f>$C$37/1000</f>
        <v>0.39</v>
      </c>
      <c r="D51" s="100">
        <f>$D$37/1000</f>
        <v>0.15</v>
      </c>
      <c r="E51" s="100">
        <f>$E$37/1000</f>
        <v>0.1</v>
      </c>
      <c r="F51" s="101">
        <f>1*(D51+E51)+0.035</f>
        <v>0.28500000000000003</v>
      </c>
      <c r="G51" s="101">
        <f>2*(C51+0.7*(E51)+0.055)</f>
        <v>1.03</v>
      </c>
      <c r="H51" s="83">
        <f>H49</f>
        <v>0.19</v>
      </c>
      <c r="I51" s="121">
        <f>I42</f>
        <v>3000</v>
      </c>
      <c r="J51" s="122" t="b">
        <f>AND(F51&gt;=0.318,F51&lt;=0.698,G51&gt;=0.533,G51&lt;=1.025)</f>
        <v>0</v>
      </c>
      <c r="K51" s="122">
        <f>IF(J51,1,0)</f>
        <v>0</v>
      </c>
      <c r="L51" s="105">
        <f>VLOOKUP(I51,$S$40:$U$69,3,TRUE)</f>
        <v>0.16</v>
      </c>
      <c r="M51" s="105">
        <f>VLOOKUP(I51,$W$40:$Y$69,3,TRUE)</f>
        <v>0.09</v>
      </c>
      <c r="N51" s="106">
        <f>IF(J51=FALSE,0,F51*G51*H51*I51*(1+L51+M51)/K51)</f>
        <v>0</v>
      </c>
      <c r="O51" s="86">
        <f>O50</f>
        <v>3.45</v>
      </c>
      <c r="P51" s="106">
        <f>IF(J51=FALSE,0,N51*O51)</f>
        <v>0</v>
      </c>
      <c r="S51" s="114">
        <v>1401</v>
      </c>
      <c r="T51" s="4">
        <v>1600</v>
      </c>
      <c r="U51" s="110">
        <v>0.24</v>
      </c>
      <c r="W51" s="4">
        <v>1401</v>
      </c>
      <c r="X51" s="4">
        <v>1600</v>
      </c>
      <c r="Y51" s="110">
        <v>0.14000000000000001</v>
      </c>
      <c r="AB51" s="9">
        <f t="shared" si="8"/>
        <v>1401</v>
      </c>
      <c r="AC51" s="9">
        <f t="shared" si="8"/>
        <v>1600</v>
      </c>
      <c r="AD51" s="21">
        <f t="shared" si="9"/>
        <v>281.59999999999997</v>
      </c>
      <c r="AE51" s="39">
        <f>AE40</f>
        <v>4</v>
      </c>
      <c r="AF51" s="39">
        <v>4.3999999999999997E-2</v>
      </c>
      <c r="AG51" s="112">
        <f t="shared" si="10"/>
        <v>281.59999999999997</v>
      </c>
      <c r="AH51" s="4">
        <f>AH40</f>
        <v>0</v>
      </c>
      <c r="AI51" s="4">
        <v>5.8000000000000003E-2</v>
      </c>
      <c r="AJ51" s="113">
        <f t="shared" si="11"/>
        <v>0</v>
      </c>
      <c r="AK51" s="4"/>
      <c r="AL51" s="4"/>
      <c r="AM51" s="4"/>
      <c r="AN51" s="4"/>
    </row>
    <row r="52" spans="2:40" x14ac:dyDescent="0.25">
      <c r="B52" s="82"/>
      <c r="C52" s="100">
        <f>$C$37/1000</f>
        <v>0.39</v>
      </c>
      <c r="D52" s="100">
        <f>$D$37/1000</f>
        <v>0.15</v>
      </c>
      <c r="E52" s="100">
        <f>$E$37/1000</f>
        <v>0.1</v>
      </c>
      <c r="F52" s="101">
        <f>1*(D52+E52)+0.035</f>
        <v>0.28500000000000003</v>
      </c>
      <c r="G52" s="101">
        <f>2*(C52+0.7*(E52)+0.055)</f>
        <v>1.03</v>
      </c>
      <c r="H52" s="83">
        <f>H49</f>
        <v>0.19</v>
      </c>
      <c r="I52" s="121">
        <f>I43</f>
        <v>4000</v>
      </c>
      <c r="J52" s="122" t="b">
        <f>AND(F52&gt;=0.318,F52&lt;=0.698,G52&gt;=0.533,G52&lt;=1.025)</f>
        <v>0</v>
      </c>
      <c r="K52" s="122">
        <f>IF(J52,1,0)</f>
        <v>0</v>
      </c>
      <c r="L52" s="105">
        <f>VLOOKUP(I52,$S$40:$U$69,3,TRUE)</f>
        <v>0.14000000000000001</v>
      </c>
      <c r="M52" s="105">
        <f>VLOOKUP(I52,$W$40:$Y$69,3,TRUE)</f>
        <v>0.08</v>
      </c>
      <c r="N52" s="106">
        <f>IF(J52=FALSE,0,F52*G52*H52*I52*(1+L52+M52)/K52)</f>
        <v>0</v>
      </c>
      <c r="O52" s="86">
        <f>O51</f>
        <v>3.45</v>
      </c>
      <c r="P52" s="106">
        <f>IF(J52=FALSE,0,N52*O52)</f>
        <v>0</v>
      </c>
      <c r="S52" s="114">
        <v>1601</v>
      </c>
      <c r="T52" s="4">
        <v>1800</v>
      </c>
      <c r="U52" s="110">
        <v>0.22</v>
      </c>
      <c r="W52" s="4">
        <v>1601</v>
      </c>
      <c r="X52" s="4">
        <v>1800</v>
      </c>
      <c r="Y52" s="110">
        <v>0.13</v>
      </c>
      <c r="AB52" s="9">
        <f t="shared" si="8"/>
        <v>1601</v>
      </c>
      <c r="AC52" s="9">
        <f t="shared" si="8"/>
        <v>1800</v>
      </c>
      <c r="AD52" s="21">
        <f t="shared" si="9"/>
        <v>280.8</v>
      </c>
      <c r="AE52" s="39">
        <f>AE40</f>
        <v>4</v>
      </c>
      <c r="AF52" s="39">
        <v>3.9E-2</v>
      </c>
      <c r="AG52" s="112">
        <f t="shared" si="10"/>
        <v>280.8</v>
      </c>
      <c r="AH52" s="4">
        <f>AH40</f>
        <v>0</v>
      </c>
      <c r="AI52" s="4">
        <v>0.05</v>
      </c>
      <c r="AJ52" s="113">
        <f t="shared" si="11"/>
        <v>0</v>
      </c>
      <c r="AK52" s="4"/>
      <c r="AL52" s="4"/>
      <c r="AM52" s="4"/>
      <c r="AN52" s="4"/>
    </row>
    <row r="53" spans="2:40" x14ac:dyDescent="0.25">
      <c r="S53" s="114">
        <v>1801</v>
      </c>
      <c r="T53" s="4">
        <v>2000</v>
      </c>
      <c r="U53" s="110">
        <v>0.2</v>
      </c>
      <c r="W53" s="4">
        <v>1801</v>
      </c>
      <c r="X53" s="4">
        <v>2000</v>
      </c>
      <c r="Y53" s="110">
        <v>0.12</v>
      </c>
      <c r="AB53" s="9">
        <f t="shared" si="8"/>
        <v>1801</v>
      </c>
      <c r="AC53" s="9">
        <f t="shared" si="8"/>
        <v>2000</v>
      </c>
      <c r="AD53" s="21">
        <f t="shared" si="9"/>
        <v>288</v>
      </c>
      <c r="AE53" s="39">
        <f>AE40</f>
        <v>4</v>
      </c>
      <c r="AF53" s="39">
        <v>3.5999999999999997E-2</v>
      </c>
      <c r="AG53" s="112">
        <f t="shared" si="10"/>
        <v>288</v>
      </c>
      <c r="AH53" s="4">
        <f>AH40</f>
        <v>0</v>
      </c>
      <c r="AI53" s="4">
        <v>0.05</v>
      </c>
      <c r="AJ53" s="113">
        <f t="shared" si="11"/>
        <v>0</v>
      </c>
      <c r="AK53" s="4"/>
      <c r="AL53" s="4"/>
      <c r="AM53" s="4"/>
      <c r="AN53" s="4"/>
    </row>
    <row r="54" spans="2:40" ht="15.75" thickBot="1" x14ac:dyDescent="0.3">
      <c r="S54" s="114">
        <v>2001</v>
      </c>
      <c r="T54" s="4">
        <v>2500</v>
      </c>
      <c r="U54" s="110">
        <v>0.18</v>
      </c>
      <c r="W54" s="4">
        <v>2001</v>
      </c>
      <c r="X54" s="4">
        <v>2500</v>
      </c>
      <c r="Y54" s="110">
        <v>0.1</v>
      </c>
      <c r="AB54" s="9">
        <f t="shared" si="8"/>
        <v>2001</v>
      </c>
      <c r="AC54" s="9">
        <f t="shared" si="8"/>
        <v>2500</v>
      </c>
      <c r="AD54" s="21">
        <f t="shared" si="9"/>
        <v>300</v>
      </c>
      <c r="AE54" s="39">
        <f>AE40</f>
        <v>4</v>
      </c>
      <c r="AF54" s="39">
        <v>0.03</v>
      </c>
      <c r="AG54" s="112">
        <f t="shared" si="10"/>
        <v>300</v>
      </c>
      <c r="AH54" s="4">
        <f>AH40</f>
        <v>0</v>
      </c>
      <c r="AI54" s="4">
        <v>0.05</v>
      </c>
      <c r="AJ54" s="113">
        <f t="shared" si="11"/>
        <v>0</v>
      </c>
      <c r="AK54" s="4"/>
      <c r="AL54" s="4"/>
      <c r="AM54" s="4"/>
      <c r="AN54" s="4"/>
    </row>
    <row r="55" spans="2:40" ht="15" customHeight="1" thickBot="1" x14ac:dyDescent="0.3">
      <c r="B55" s="82" t="s">
        <v>0</v>
      </c>
      <c r="C55" s="83">
        <f>C37</f>
        <v>390</v>
      </c>
      <c r="D55" s="115">
        <f>D37</f>
        <v>150</v>
      </c>
      <c r="E55" s="83">
        <f>E37</f>
        <v>100</v>
      </c>
      <c r="F55" s="116">
        <f>C55+0.5*E55+23</f>
        <v>463</v>
      </c>
      <c r="G55" s="117">
        <v>113</v>
      </c>
      <c r="H55" s="118">
        <v>358.77499999999998</v>
      </c>
      <c r="I55" s="82"/>
      <c r="S55" s="114">
        <v>2501</v>
      </c>
      <c r="T55" s="4">
        <v>3000</v>
      </c>
      <c r="U55" s="110">
        <v>0.16</v>
      </c>
      <c r="W55" s="4">
        <v>2501</v>
      </c>
      <c r="X55" s="4">
        <v>3000</v>
      </c>
      <c r="Y55" s="110">
        <v>0.09</v>
      </c>
      <c r="AB55" s="9">
        <f t="shared" si="8"/>
        <v>2501</v>
      </c>
      <c r="AC55" s="9">
        <f t="shared" si="8"/>
        <v>3000</v>
      </c>
      <c r="AD55" s="21">
        <f t="shared" si="9"/>
        <v>324</v>
      </c>
      <c r="AE55" s="39">
        <f>AE40</f>
        <v>4</v>
      </c>
      <c r="AF55" s="39">
        <v>2.7E-2</v>
      </c>
      <c r="AG55" s="112">
        <f t="shared" si="10"/>
        <v>324</v>
      </c>
      <c r="AH55" s="4">
        <f>AH40</f>
        <v>0</v>
      </c>
      <c r="AI55" s="4">
        <v>4.7500000000000001E-2</v>
      </c>
      <c r="AJ55" s="113">
        <f t="shared" si="11"/>
        <v>0</v>
      </c>
      <c r="AK55" s="4"/>
      <c r="AL55" s="4"/>
      <c r="AM55" s="4"/>
      <c r="AN55" s="4"/>
    </row>
    <row r="56" spans="2:40" ht="15.75" thickBot="1" x14ac:dyDescent="0.3">
      <c r="B56" s="82"/>
      <c r="C56" s="82"/>
      <c r="D56" s="82"/>
      <c r="E56" s="82"/>
      <c r="F56" s="229" t="s">
        <v>117</v>
      </c>
      <c r="G56" s="230"/>
      <c r="H56" s="82" t="s">
        <v>2</v>
      </c>
      <c r="I56" s="86" t="s">
        <v>86</v>
      </c>
      <c r="J56" s="4" t="s">
        <v>113</v>
      </c>
      <c r="K56" s="4"/>
      <c r="L56" s="4" t="s">
        <v>89</v>
      </c>
      <c r="M56" s="88" t="s">
        <v>90</v>
      </c>
      <c r="N56" s="87" t="s">
        <v>91</v>
      </c>
      <c r="O56" s="4" t="s">
        <v>92</v>
      </c>
      <c r="P56" s="95" t="s">
        <v>3</v>
      </c>
      <c r="S56" s="114">
        <v>3001</v>
      </c>
      <c r="T56" s="4">
        <v>4000</v>
      </c>
      <c r="U56" s="110">
        <v>0.14000000000000001</v>
      </c>
      <c r="W56" s="4">
        <v>3001</v>
      </c>
      <c r="X56" s="4">
        <v>4000</v>
      </c>
      <c r="Y56" s="110">
        <v>0.08</v>
      </c>
      <c r="AB56" s="9">
        <f t="shared" si="8"/>
        <v>3001</v>
      </c>
      <c r="AC56" s="9">
        <f t="shared" si="8"/>
        <v>4000</v>
      </c>
      <c r="AD56" s="21">
        <f t="shared" si="9"/>
        <v>352</v>
      </c>
      <c r="AE56" s="39">
        <f>AE40</f>
        <v>4</v>
      </c>
      <c r="AF56" s="39">
        <v>2.1999999999999999E-2</v>
      </c>
      <c r="AG56" s="112">
        <f t="shared" si="10"/>
        <v>352</v>
      </c>
      <c r="AH56" s="4">
        <f>AH40</f>
        <v>0</v>
      </c>
      <c r="AI56" s="4">
        <v>4.7500000000000001E-2</v>
      </c>
      <c r="AJ56" s="113">
        <f t="shared" si="11"/>
        <v>0</v>
      </c>
      <c r="AK56" s="4"/>
      <c r="AL56" s="4"/>
      <c r="AM56" s="4"/>
      <c r="AN56" s="4"/>
    </row>
    <row r="57" spans="2:40" ht="15.75" thickBot="1" x14ac:dyDescent="0.3">
      <c r="B57" s="96" t="s">
        <v>118</v>
      </c>
      <c r="C57" s="97" t="s">
        <v>5</v>
      </c>
      <c r="D57" s="83" t="s">
        <v>6</v>
      </c>
      <c r="E57" s="83" t="s">
        <v>7</v>
      </c>
      <c r="F57" s="83" t="s">
        <v>115</v>
      </c>
      <c r="G57" s="83" t="s">
        <v>110</v>
      </c>
      <c r="H57" s="98" t="str">
        <f>H39</f>
        <v>Art Card 190</v>
      </c>
      <c r="I57" s="83"/>
      <c r="J57" s="85"/>
      <c r="K57" s="85"/>
      <c r="L57" s="85"/>
      <c r="M57" s="85"/>
      <c r="N57" s="83"/>
      <c r="O57" s="86"/>
      <c r="P57" s="83"/>
      <c r="S57" s="114">
        <v>4001</v>
      </c>
      <c r="T57" s="4">
        <v>5000</v>
      </c>
      <c r="U57" s="110">
        <v>0.12</v>
      </c>
      <c r="W57" s="4">
        <v>4001</v>
      </c>
      <c r="X57" s="4">
        <v>5000</v>
      </c>
      <c r="Y57" s="110">
        <v>7.0000000000000007E-2</v>
      </c>
      <c r="AB57" s="9">
        <f t="shared" si="8"/>
        <v>4001</v>
      </c>
      <c r="AC57" s="9">
        <f t="shared" si="8"/>
        <v>5000</v>
      </c>
      <c r="AD57" s="21">
        <f t="shared" si="9"/>
        <v>400</v>
      </c>
      <c r="AE57" s="39">
        <f>AE40</f>
        <v>4</v>
      </c>
      <c r="AF57" s="39">
        <v>0.02</v>
      </c>
      <c r="AG57" s="112">
        <f t="shared" si="10"/>
        <v>400</v>
      </c>
      <c r="AH57" s="4">
        <f>AH40</f>
        <v>0</v>
      </c>
      <c r="AI57" s="4">
        <v>4.4999999999999998E-2</v>
      </c>
      <c r="AJ57" s="113">
        <f t="shared" si="11"/>
        <v>0</v>
      </c>
      <c r="AK57" s="4"/>
      <c r="AL57" s="4"/>
      <c r="AM57" s="4"/>
      <c r="AN57" s="4"/>
    </row>
    <row r="58" spans="2:40" x14ac:dyDescent="0.25">
      <c r="B58" s="99" t="s">
        <v>0</v>
      </c>
      <c r="C58" s="100">
        <f>$C$37/1000</f>
        <v>0.39</v>
      </c>
      <c r="D58" s="100">
        <f>$D$37/1000</f>
        <v>0.15</v>
      </c>
      <c r="E58" s="100">
        <f>$E$37/1000</f>
        <v>0.1</v>
      </c>
      <c r="F58" s="101">
        <f>D58+E58+0.035</f>
        <v>0.28500000000000003</v>
      </c>
      <c r="G58" s="101">
        <f>C58+0.7*(E58)+0.055</f>
        <v>0.51500000000000001</v>
      </c>
      <c r="H58" s="120">
        <f>H40</f>
        <v>0.19</v>
      </c>
      <c r="I58" s="121">
        <f>I40</f>
        <v>1000</v>
      </c>
      <c r="J58" s="122" t="b">
        <f>OR(AND(F58&gt;=0.318,F58&lt;=0.698,G58&gt;=0.533,G58&lt;=1.025),AND(F58&gt;=0.533,F58&lt;=1.025,G58&gt;=0.318,G58&lt;=0.698))</f>
        <v>0</v>
      </c>
      <c r="K58" s="123">
        <f>IF(J58,0.5,0)</f>
        <v>0</v>
      </c>
      <c r="L58" s="105">
        <f>VLOOKUP(I58,$S$40:$U$69,3,TRUE)</f>
        <v>0.28000000000000003</v>
      </c>
      <c r="M58" s="105">
        <f>VLOOKUP(I58,$W$40:$Y$69,3,TRUE)</f>
        <v>0.18</v>
      </c>
      <c r="N58" s="106">
        <f>IF(J58=FALSE,0,F58*G58*H58*I58*(1+L58+M58)/K58)</f>
        <v>0</v>
      </c>
      <c r="O58" s="86">
        <f>O40</f>
        <v>3.45</v>
      </c>
      <c r="P58" s="106">
        <f>IF(J58=FALSE,0,N58*O58)</f>
        <v>0</v>
      </c>
      <c r="S58" s="114">
        <v>5001</v>
      </c>
      <c r="T58" s="4">
        <v>6000</v>
      </c>
      <c r="U58" s="110">
        <v>0.1</v>
      </c>
      <c r="W58" s="4">
        <v>5001</v>
      </c>
      <c r="X58" s="4">
        <v>6000</v>
      </c>
      <c r="Y58" s="110">
        <v>0.06</v>
      </c>
      <c r="AB58" s="9">
        <f t="shared" si="8"/>
        <v>5001</v>
      </c>
      <c r="AC58" s="9">
        <f t="shared" si="8"/>
        <v>6000</v>
      </c>
      <c r="AD58" s="21">
        <f t="shared" si="9"/>
        <v>480</v>
      </c>
      <c r="AE58" s="39">
        <f>AE40</f>
        <v>4</v>
      </c>
      <c r="AF58" s="39">
        <v>0.02</v>
      </c>
      <c r="AG58" s="112">
        <f t="shared" si="10"/>
        <v>480</v>
      </c>
      <c r="AH58" s="4">
        <f>AH40</f>
        <v>0</v>
      </c>
      <c r="AI58" s="4">
        <v>4.4999999999999998E-2</v>
      </c>
      <c r="AJ58" s="113">
        <f t="shared" si="11"/>
        <v>0</v>
      </c>
      <c r="AK58" s="4"/>
      <c r="AL58" s="4"/>
      <c r="AM58" s="4"/>
      <c r="AN58" s="4"/>
    </row>
    <row r="59" spans="2:40" x14ac:dyDescent="0.25">
      <c r="B59" s="82"/>
      <c r="C59" s="100">
        <f>$C$37/1000</f>
        <v>0.39</v>
      </c>
      <c r="D59" s="100">
        <f>$D$37/1000</f>
        <v>0.15</v>
      </c>
      <c r="E59" s="100">
        <f>$E$37/1000</f>
        <v>0.1</v>
      </c>
      <c r="F59" s="101">
        <f>D59+E59+0.035</f>
        <v>0.28500000000000003</v>
      </c>
      <c r="G59" s="101">
        <f>C59+0.7*(E59)+0.055</f>
        <v>0.51500000000000001</v>
      </c>
      <c r="H59" s="83">
        <f>H58</f>
        <v>0.19</v>
      </c>
      <c r="I59" s="121">
        <f>I41</f>
        <v>2000</v>
      </c>
      <c r="J59" s="122" t="b">
        <f>OR(AND(F59&gt;=0.318,F59&lt;=0.698,G59&gt;=0.533,G59&lt;=1.025),AND(F59&gt;=0.533,F59&lt;=1.025,G59&gt;=0.318,G59&lt;=0.698))</f>
        <v>0</v>
      </c>
      <c r="K59" s="123">
        <f>IF(J59,0.5,0)</f>
        <v>0</v>
      </c>
      <c r="L59" s="105">
        <f>VLOOKUP(I59,$S$40:$U$69,3,TRUE)</f>
        <v>0.2</v>
      </c>
      <c r="M59" s="105">
        <f>VLOOKUP(I59,$W$40:$Y$69,3,TRUE)</f>
        <v>0.12</v>
      </c>
      <c r="N59" s="106">
        <f>IF(J59=FALSE,0,F59*G59*H59*I59*(1+L59+M59)/K59)</f>
        <v>0</v>
      </c>
      <c r="O59" s="86">
        <f>O58</f>
        <v>3.45</v>
      </c>
      <c r="P59" s="106">
        <f>IF(J59=FALSE,0,N59*O59)</f>
        <v>0</v>
      </c>
      <c r="S59" s="114">
        <v>6001</v>
      </c>
      <c r="T59" s="4">
        <v>7000</v>
      </c>
      <c r="U59" s="110">
        <v>8.5000000000000006E-2</v>
      </c>
      <c r="W59" s="4">
        <v>6001</v>
      </c>
      <c r="X59" s="4">
        <v>7000</v>
      </c>
      <c r="Y59" s="110">
        <v>0.05</v>
      </c>
      <c r="AB59" s="9">
        <f t="shared" si="8"/>
        <v>6001</v>
      </c>
      <c r="AC59" s="9">
        <f t="shared" si="8"/>
        <v>7000</v>
      </c>
      <c r="AD59" s="21">
        <f t="shared" si="9"/>
        <v>560</v>
      </c>
      <c r="AE59" s="39">
        <f>AE40</f>
        <v>4</v>
      </c>
      <c r="AF59" s="39">
        <v>0.02</v>
      </c>
      <c r="AG59" s="112">
        <f t="shared" si="10"/>
        <v>560</v>
      </c>
      <c r="AH59" s="4">
        <f>AH40</f>
        <v>0</v>
      </c>
      <c r="AI59" s="4">
        <v>4.2500000000000003E-2</v>
      </c>
      <c r="AJ59" s="113">
        <f t="shared" si="11"/>
        <v>0</v>
      </c>
      <c r="AK59" s="4"/>
      <c r="AL59" s="4"/>
      <c r="AM59" s="4"/>
      <c r="AN59" s="4"/>
    </row>
    <row r="60" spans="2:40" x14ac:dyDescent="0.25">
      <c r="B60" s="82"/>
      <c r="C60" s="100">
        <f>$C$37/1000</f>
        <v>0.39</v>
      </c>
      <c r="D60" s="100">
        <f>$D$37/1000</f>
        <v>0.15</v>
      </c>
      <c r="E60" s="100">
        <f>$E$37/1000</f>
        <v>0.1</v>
      </c>
      <c r="F60" s="101">
        <f>D60+E60+0.035</f>
        <v>0.28500000000000003</v>
      </c>
      <c r="G60" s="101">
        <f>C60+0.7*(E60)+0.055</f>
        <v>0.51500000000000001</v>
      </c>
      <c r="H60" s="83">
        <f>H58</f>
        <v>0.19</v>
      </c>
      <c r="I60" s="121">
        <f>I42</f>
        <v>3000</v>
      </c>
      <c r="J60" s="122" t="b">
        <f>OR(AND(F60&gt;=0.318,F60&lt;=0.698,G60&gt;=0.533,G60&lt;=1.025),AND(F60&gt;=0.533,F60&lt;=1.025,G60&gt;=0.318,G60&lt;=0.698))</f>
        <v>0</v>
      </c>
      <c r="K60" s="123">
        <f>IF(J60,0.5,0)</f>
        <v>0</v>
      </c>
      <c r="L60" s="105">
        <f>VLOOKUP(I60,$S$40:$U$69,3,TRUE)</f>
        <v>0.16</v>
      </c>
      <c r="M60" s="105">
        <f>VLOOKUP(I60,$W$40:$Y$69,3,TRUE)</f>
        <v>0.09</v>
      </c>
      <c r="N60" s="106">
        <f>IF(J60=FALSE,0,F60*G60*H60*I60*(1+L60+M60)/K60)</f>
        <v>0</v>
      </c>
      <c r="O60" s="86">
        <f>O58</f>
        <v>3.45</v>
      </c>
      <c r="P60" s="106">
        <f>IF(J60=FALSE,0,N60*O60)</f>
        <v>0</v>
      </c>
      <c r="S60" s="114">
        <v>7001</v>
      </c>
      <c r="T60" s="4">
        <v>8000</v>
      </c>
      <c r="U60" s="110">
        <v>7.4999999999999997E-2</v>
      </c>
      <c r="W60" s="4">
        <v>7001</v>
      </c>
      <c r="X60" s="4">
        <v>8000</v>
      </c>
      <c r="Y60" s="124">
        <v>0.05</v>
      </c>
      <c r="AB60" s="9">
        <f t="shared" si="8"/>
        <v>7001</v>
      </c>
      <c r="AC60" s="9">
        <f t="shared" si="8"/>
        <v>8000</v>
      </c>
      <c r="AD60" s="21">
        <f t="shared" si="9"/>
        <v>608</v>
      </c>
      <c r="AE60" s="39">
        <f>AE40</f>
        <v>4</v>
      </c>
      <c r="AF60" s="39">
        <v>1.9E-2</v>
      </c>
      <c r="AG60" s="112">
        <f t="shared" si="10"/>
        <v>608</v>
      </c>
      <c r="AH60" s="4">
        <f>AH40</f>
        <v>0</v>
      </c>
      <c r="AI60" s="4">
        <v>4.2500000000000003E-2</v>
      </c>
      <c r="AJ60" s="113">
        <f t="shared" si="11"/>
        <v>0</v>
      </c>
      <c r="AK60" s="4"/>
      <c r="AL60" s="4"/>
      <c r="AM60" s="4"/>
      <c r="AN60" s="4"/>
    </row>
    <row r="61" spans="2:40" x14ac:dyDescent="0.25">
      <c r="B61" s="82"/>
      <c r="C61" s="100">
        <f>$C$37/1000</f>
        <v>0.39</v>
      </c>
      <c r="D61" s="100">
        <f>$D$37/1000</f>
        <v>0.15</v>
      </c>
      <c r="E61" s="100">
        <f>$E$37/1000</f>
        <v>0.1</v>
      </c>
      <c r="F61" s="101">
        <f>D61+E61+0.035</f>
        <v>0.28500000000000003</v>
      </c>
      <c r="G61" s="101">
        <f>C61+0.7*(E61)+0.055</f>
        <v>0.51500000000000001</v>
      </c>
      <c r="H61" s="83">
        <f>H58</f>
        <v>0.19</v>
      </c>
      <c r="I61" s="121">
        <f>I43</f>
        <v>4000</v>
      </c>
      <c r="J61" s="122" t="b">
        <f>OR(AND(F61&gt;=0.318,F61&lt;=0.698,G61&gt;=0.533,G61&lt;=1.025),AND(F61&gt;=0.533,F61&lt;=1.025,G61&gt;=0.318,G61&lt;=0.698))</f>
        <v>0</v>
      </c>
      <c r="K61" s="123">
        <f>IF(J61,0.5,0)</f>
        <v>0</v>
      </c>
      <c r="L61" s="105">
        <f>VLOOKUP(I61,$S$40:$U$69,3,TRUE)</f>
        <v>0.14000000000000001</v>
      </c>
      <c r="M61" s="105">
        <f>VLOOKUP(I61,$W$40:$Y$69,3,TRUE)</f>
        <v>0.08</v>
      </c>
      <c r="N61" s="106">
        <f>IF(J61=FALSE,0,F61*G61*H61*I61*(1+L61+M61)/K61)</f>
        <v>0</v>
      </c>
      <c r="O61" s="86">
        <f>O58</f>
        <v>3.45</v>
      </c>
      <c r="P61" s="106">
        <f>IF(J61=FALSE,0,N61*O61)</f>
        <v>0</v>
      </c>
      <c r="S61" s="114">
        <v>8001</v>
      </c>
      <c r="T61" s="4">
        <v>9000</v>
      </c>
      <c r="U61" s="110">
        <v>6.5000000000000002E-2</v>
      </c>
      <c r="W61" s="4">
        <v>8001</v>
      </c>
      <c r="X61" s="4">
        <v>9000</v>
      </c>
      <c r="Y61" s="124">
        <v>0.05</v>
      </c>
      <c r="AB61" s="9">
        <f t="shared" si="8"/>
        <v>8001</v>
      </c>
      <c r="AC61" s="9">
        <f t="shared" si="8"/>
        <v>9000</v>
      </c>
      <c r="AD61" s="21">
        <f t="shared" si="9"/>
        <v>684</v>
      </c>
      <c r="AE61" s="39">
        <f>AE40</f>
        <v>4</v>
      </c>
      <c r="AF61" s="39">
        <v>1.9E-2</v>
      </c>
      <c r="AG61" s="112">
        <f t="shared" si="10"/>
        <v>684</v>
      </c>
      <c r="AH61" s="4">
        <f>AH40</f>
        <v>0</v>
      </c>
      <c r="AI61" s="4">
        <v>0.04</v>
      </c>
      <c r="AJ61" s="113">
        <f t="shared" si="11"/>
        <v>0</v>
      </c>
      <c r="AK61" s="4"/>
      <c r="AL61" s="4"/>
      <c r="AM61" s="4"/>
      <c r="AN61" s="4"/>
    </row>
    <row r="62" spans="2:40" x14ac:dyDescent="0.25">
      <c r="S62" s="114">
        <v>9001</v>
      </c>
      <c r="T62" s="4">
        <v>10000</v>
      </c>
      <c r="U62" s="110">
        <v>0.06</v>
      </c>
      <c r="W62" s="4">
        <v>9001</v>
      </c>
      <c r="X62" s="4">
        <v>10000</v>
      </c>
      <c r="Y62" s="124">
        <v>0.05</v>
      </c>
      <c r="AB62" s="9">
        <f t="shared" si="8"/>
        <v>9001</v>
      </c>
      <c r="AC62" s="9">
        <f t="shared" si="8"/>
        <v>10000</v>
      </c>
      <c r="AD62" s="21">
        <f t="shared" si="9"/>
        <v>760</v>
      </c>
      <c r="AE62" s="39">
        <f>AE40</f>
        <v>4</v>
      </c>
      <c r="AF62" s="39">
        <v>1.9E-2</v>
      </c>
      <c r="AG62" s="112">
        <f t="shared" si="10"/>
        <v>760</v>
      </c>
      <c r="AH62" s="4">
        <f>AH40</f>
        <v>0</v>
      </c>
      <c r="AI62" s="4">
        <v>0.04</v>
      </c>
      <c r="AJ62" s="113">
        <f t="shared" si="11"/>
        <v>0</v>
      </c>
      <c r="AK62" s="4"/>
      <c r="AL62" s="4"/>
      <c r="AM62" s="4"/>
      <c r="AN62" s="4"/>
    </row>
    <row r="63" spans="2:40" ht="15.75" thickBot="1" x14ac:dyDescent="0.3">
      <c r="S63" s="125">
        <v>10001</v>
      </c>
      <c r="T63" s="9">
        <v>12000</v>
      </c>
      <c r="U63" s="110">
        <v>5.5E-2</v>
      </c>
      <c r="W63" s="4">
        <v>10001</v>
      </c>
      <c r="X63" s="4">
        <v>12000</v>
      </c>
      <c r="Y63" s="124">
        <v>0.05</v>
      </c>
      <c r="AB63" s="9">
        <f t="shared" si="8"/>
        <v>10001</v>
      </c>
      <c r="AC63" s="9">
        <f t="shared" si="8"/>
        <v>12000</v>
      </c>
      <c r="AD63" s="21">
        <f t="shared" si="9"/>
        <v>863.99999999999989</v>
      </c>
      <c r="AE63" s="39">
        <f>AE40</f>
        <v>4</v>
      </c>
      <c r="AF63" s="39">
        <v>1.7999999999999999E-2</v>
      </c>
      <c r="AG63" s="112">
        <f t="shared" si="10"/>
        <v>863.99999999999989</v>
      </c>
      <c r="AH63" s="4">
        <f>AH40</f>
        <v>0</v>
      </c>
      <c r="AI63" s="4">
        <v>3.7499999999999999E-2</v>
      </c>
      <c r="AJ63" s="113">
        <f t="shared" si="11"/>
        <v>0</v>
      </c>
      <c r="AK63" s="4"/>
      <c r="AL63" s="4"/>
      <c r="AM63" s="4"/>
      <c r="AN63" s="4"/>
    </row>
    <row r="64" spans="2:40" ht="15.75" thickBot="1" x14ac:dyDescent="0.3">
      <c r="B64" s="82" t="s">
        <v>0</v>
      </c>
      <c r="C64" s="83">
        <f>C37</f>
        <v>390</v>
      </c>
      <c r="D64" s="115">
        <f>D37</f>
        <v>150</v>
      </c>
      <c r="E64" s="83">
        <f>E37</f>
        <v>100</v>
      </c>
      <c r="F64" s="116">
        <f>C64+0.5*E64+23</f>
        <v>463</v>
      </c>
      <c r="G64" s="117">
        <v>113</v>
      </c>
      <c r="H64" s="126">
        <v>358.77499999999998</v>
      </c>
      <c r="I64" s="82"/>
      <c r="S64" s="125">
        <v>12001</v>
      </c>
      <c r="T64" s="9">
        <v>15000</v>
      </c>
      <c r="U64" s="110">
        <v>0.05</v>
      </c>
      <c r="W64" s="4">
        <v>12001</v>
      </c>
      <c r="X64" s="4">
        <v>15000</v>
      </c>
      <c r="Y64" s="124">
        <v>0.05</v>
      </c>
      <c r="AB64" s="9">
        <f t="shared" si="8"/>
        <v>12001</v>
      </c>
      <c r="AC64" s="9">
        <f t="shared" si="8"/>
        <v>15000</v>
      </c>
      <c r="AD64" s="21">
        <f t="shared" si="9"/>
        <v>1080</v>
      </c>
      <c r="AE64" s="39">
        <f>AE40</f>
        <v>4</v>
      </c>
      <c r="AF64" s="39">
        <v>1.7999999999999999E-2</v>
      </c>
      <c r="AG64" s="112">
        <f t="shared" si="10"/>
        <v>1080</v>
      </c>
      <c r="AH64" s="4">
        <f>AH40</f>
        <v>0</v>
      </c>
      <c r="AI64" s="4">
        <v>3.7499999999999999E-2</v>
      </c>
      <c r="AJ64" s="113">
        <f t="shared" si="11"/>
        <v>0</v>
      </c>
      <c r="AK64" s="4"/>
      <c r="AL64" s="4"/>
      <c r="AM64" s="4"/>
      <c r="AN64" s="4"/>
    </row>
    <row r="65" spans="2:42" ht="25.5" thickBot="1" x14ac:dyDescent="0.3">
      <c r="B65" s="82"/>
      <c r="C65" s="82"/>
      <c r="D65" s="82"/>
      <c r="E65" s="82"/>
      <c r="F65" s="229" t="s">
        <v>119</v>
      </c>
      <c r="G65" s="231"/>
      <c r="H65" s="83" t="s">
        <v>2</v>
      </c>
      <c r="I65" s="86" t="s">
        <v>86</v>
      </c>
      <c r="J65" s="87" t="s">
        <v>87</v>
      </c>
      <c r="K65" s="4" t="s">
        <v>88</v>
      </c>
      <c r="L65" s="4" t="s">
        <v>89</v>
      </c>
      <c r="M65" s="88" t="s">
        <v>90</v>
      </c>
      <c r="N65" s="87" t="s">
        <v>91</v>
      </c>
      <c r="O65" s="4" t="s">
        <v>92</v>
      </c>
      <c r="P65" s="95" t="s">
        <v>3</v>
      </c>
      <c r="S65" s="125">
        <v>15001</v>
      </c>
      <c r="T65" s="9">
        <v>20000</v>
      </c>
      <c r="U65" s="110">
        <v>4.4999999999999998E-2</v>
      </c>
      <c r="W65" s="4">
        <v>15001</v>
      </c>
      <c r="X65" s="4">
        <v>20000</v>
      </c>
      <c r="Y65" s="124">
        <v>4.7E-2</v>
      </c>
      <c r="AB65" s="9">
        <f t="shared" si="8"/>
        <v>15001</v>
      </c>
      <c r="AC65" s="9">
        <f t="shared" si="8"/>
        <v>20000</v>
      </c>
      <c r="AD65" s="21">
        <f t="shared" si="9"/>
        <v>1360</v>
      </c>
      <c r="AE65" s="39">
        <f>AE40</f>
        <v>4</v>
      </c>
      <c r="AF65" s="39">
        <v>1.7000000000000001E-2</v>
      </c>
      <c r="AG65" s="112">
        <f t="shared" si="10"/>
        <v>1360</v>
      </c>
      <c r="AH65" s="4">
        <f>AH40</f>
        <v>0</v>
      </c>
      <c r="AI65" s="4">
        <v>3.5000000000000003E-2</v>
      </c>
      <c r="AJ65" s="113">
        <f t="shared" si="11"/>
        <v>0</v>
      </c>
      <c r="AK65" s="4"/>
      <c r="AL65" s="4"/>
      <c r="AM65" s="4"/>
      <c r="AN65" s="4"/>
    </row>
    <row r="66" spans="2:42" ht="15.75" thickBot="1" x14ac:dyDescent="0.3">
      <c r="B66" s="96" t="s">
        <v>120</v>
      </c>
      <c r="C66" s="97" t="s">
        <v>5</v>
      </c>
      <c r="D66" s="83" t="s">
        <v>6</v>
      </c>
      <c r="E66" s="83" t="s">
        <v>7</v>
      </c>
      <c r="F66" s="83" t="s">
        <v>109</v>
      </c>
      <c r="G66" s="83" t="s">
        <v>121</v>
      </c>
      <c r="H66" s="98" t="str">
        <f>H39</f>
        <v>Art Card 190</v>
      </c>
      <c r="I66" s="83"/>
      <c r="J66" s="85" t="s">
        <v>111</v>
      </c>
      <c r="L66" s="85"/>
      <c r="M66" s="85"/>
      <c r="N66" s="83"/>
      <c r="O66" s="86"/>
      <c r="P66" s="83"/>
      <c r="S66" s="125">
        <v>20001</v>
      </c>
      <c r="T66" s="9">
        <v>25000</v>
      </c>
      <c r="U66" s="110">
        <v>4.2000000000000003E-2</v>
      </c>
      <c r="W66" s="4">
        <v>20001</v>
      </c>
      <c r="X66" s="4">
        <v>25000</v>
      </c>
      <c r="Y66" s="124">
        <v>4.7E-2</v>
      </c>
      <c r="AB66" s="9">
        <f t="shared" si="8"/>
        <v>20001</v>
      </c>
      <c r="AC66" s="9">
        <f t="shared" si="8"/>
        <v>25000</v>
      </c>
      <c r="AD66" s="21">
        <f t="shared" si="9"/>
        <v>1700.0000000000002</v>
      </c>
      <c r="AE66" s="39">
        <f>AE40</f>
        <v>4</v>
      </c>
      <c r="AF66" s="39">
        <v>1.7000000000000001E-2</v>
      </c>
      <c r="AG66" s="112">
        <f t="shared" si="10"/>
        <v>1700.0000000000002</v>
      </c>
      <c r="AH66" s="4">
        <f>AH40</f>
        <v>0</v>
      </c>
      <c r="AI66" s="4">
        <v>3.5000000000000003E-2</v>
      </c>
      <c r="AJ66" s="5">
        <f t="shared" ref="AJ66:AJ86" si="12">AI66*AH66*AC66</f>
        <v>0</v>
      </c>
      <c r="AK66" s="4"/>
      <c r="AL66" s="4"/>
      <c r="AM66" s="4"/>
      <c r="AN66" s="4"/>
    </row>
    <row r="67" spans="2:42" x14ac:dyDescent="0.25">
      <c r="B67" s="99" t="s">
        <v>0</v>
      </c>
      <c r="C67" s="100">
        <f>$C$37/1000</f>
        <v>0.39</v>
      </c>
      <c r="D67" s="100">
        <f>$D$37/1000</f>
        <v>0.15</v>
      </c>
      <c r="E67" s="100">
        <f>$E$37/1000</f>
        <v>0.1</v>
      </c>
      <c r="F67" s="101">
        <f>2*(D67+E67)+0.035</f>
        <v>0.53500000000000003</v>
      </c>
      <c r="G67" s="101">
        <f>2*(C67+0.7*(E67)+0.055)</f>
        <v>1.03</v>
      </c>
      <c r="H67" s="50">
        <f>H40</f>
        <v>0.19</v>
      </c>
      <c r="I67" s="121">
        <f>I40</f>
        <v>1000</v>
      </c>
      <c r="J67" s="103" t="b">
        <f>OR(AND(F67&gt;=0.3,F67&lt;=0.698,G67&gt;=0.42,G67&lt;=1.025),AND(F67&gt;=0.42,F67&lt;=1.025,G67&gt;=0.3,G67&lt;=0.698))</f>
        <v>0</v>
      </c>
      <c r="K67" s="104">
        <f>IF(J67,2,0)</f>
        <v>0</v>
      </c>
      <c r="L67" s="105">
        <f>VLOOKUP(I67/2,$S$40:$U$69,3,TRUE)</f>
        <v>0.45</v>
      </c>
      <c r="M67" s="105">
        <f>VLOOKUP(I67/2,$W$40:$Y$69,3,TRUE)</f>
        <v>0.25</v>
      </c>
      <c r="N67" s="106">
        <f>IF(J67=FALSE,0,F67*G67*H67*I67*(1+L67+M67)/K67)</f>
        <v>0</v>
      </c>
      <c r="O67" s="86">
        <f>O40</f>
        <v>3.45</v>
      </c>
      <c r="P67" s="106">
        <f>IF(J67=FALSE,0,N67*O67)</f>
        <v>0</v>
      </c>
      <c r="S67" s="125">
        <v>25001</v>
      </c>
      <c r="T67" s="9">
        <v>30000</v>
      </c>
      <c r="U67" s="110">
        <v>0.04</v>
      </c>
      <c r="W67" s="4">
        <v>25001</v>
      </c>
      <c r="X67" s="4">
        <v>30000</v>
      </c>
      <c r="Y67" s="124">
        <v>4.4999999999999998E-2</v>
      </c>
      <c r="AB67" s="9">
        <f t="shared" si="8"/>
        <v>25001</v>
      </c>
      <c r="AC67" s="9">
        <f t="shared" si="8"/>
        <v>30000</v>
      </c>
      <c r="AD67" s="21">
        <f t="shared" si="9"/>
        <v>1920</v>
      </c>
      <c r="AE67" s="39">
        <f>AE40</f>
        <v>4</v>
      </c>
      <c r="AF67" s="39">
        <v>1.6E-2</v>
      </c>
      <c r="AG67" s="112">
        <f t="shared" si="10"/>
        <v>1920</v>
      </c>
      <c r="AH67" s="4">
        <f>AH40</f>
        <v>0</v>
      </c>
      <c r="AI67" s="4">
        <v>0.03</v>
      </c>
      <c r="AJ67" s="5">
        <f t="shared" si="12"/>
        <v>0</v>
      </c>
      <c r="AK67" s="4"/>
      <c r="AL67" s="4"/>
      <c r="AM67" s="4"/>
      <c r="AN67" s="4"/>
    </row>
    <row r="68" spans="2:42" x14ac:dyDescent="0.25">
      <c r="B68" s="82"/>
      <c r="C68" s="100">
        <f>$C$37/1000</f>
        <v>0.39</v>
      </c>
      <c r="D68" s="100">
        <f>$D$37/1000</f>
        <v>0.15</v>
      </c>
      <c r="E68" s="100">
        <f>$E$37/1000</f>
        <v>0.1</v>
      </c>
      <c r="F68" s="101">
        <f>2*(D68+E68)+0.035</f>
        <v>0.53500000000000003</v>
      </c>
      <c r="G68" s="101">
        <f>2*(C68+0.7*(E68)+0.055)</f>
        <v>1.03</v>
      </c>
      <c r="H68" s="4">
        <f>H67</f>
        <v>0.19</v>
      </c>
      <c r="I68" s="121">
        <f>I41</f>
        <v>2000</v>
      </c>
      <c r="J68" s="103" t="b">
        <f>OR(AND(F68&gt;=0.3,F68&lt;=0.698,G68&gt;=0.42,G68&lt;=1.025),AND(F68&gt;=0.42,F68&lt;=1.025,G68&gt;=0.3,G68&lt;=0.698))</f>
        <v>0</v>
      </c>
      <c r="K68" s="104">
        <f>IF(J68,2,0)</f>
        <v>0</v>
      </c>
      <c r="L68" s="105">
        <f>VLOOKUP(I68/2,$S$40:$U$69,3,TRUE)</f>
        <v>0.28000000000000003</v>
      </c>
      <c r="M68" s="105">
        <f>VLOOKUP(I68/2,$W$40:$Y$69,3,TRUE)</f>
        <v>0.18</v>
      </c>
      <c r="N68" s="106">
        <f>IF(J68=FALSE,0,F68*G68*H68*I68*(1+L68+M68)/K68)</f>
        <v>0</v>
      </c>
      <c r="O68" s="86">
        <f>O67</f>
        <v>3.45</v>
      </c>
      <c r="P68" s="106">
        <f>IF(J68=FALSE,0,N68*O68)</f>
        <v>0</v>
      </c>
      <c r="S68" s="125">
        <v>30000</v>
      </c>
      <c r="T68" s="9">
        <v>40000</v>
      </c>
      <c r="U68" s="110">
        <v>3.5000000000000003E-2</v>
      </c>
      <c r="W68" s="4">
        <v>30000</v>
      </c>
      <c r="X68" s="4">
        <v>40000</v>
      </c>
      <c r="Y68" s="124">
        <v>0.04</v>
      </c>
      <c r="AB68" s="9">
        <f t="shared" si="8"/>
        <v>30000</v>
      </c>
      <c r="AC68" s="9">
        <f t="shared" si="8"/>
        <v>40000</v>
      </c>
      <c r="AD68" s="21">
        <f t="shared" si="9"/>
        <v>2400</v>
      </c>
      <c r="AE68" s="39">
        <f>AE40</f>
        <v>4</v>
      </c>
      <c r="AF68" s="39">
        <v>1.4999999999999999E-2</v>
      </c>
      <c r="AG68" s="112">
        <f t="shared" si="10"/>
        <v>2400</v>
      </c>
      <c r="AH68" s="4">
        <f>AH40</f>
        <v>0</v>
      </c>
      <c r="AI68" s="4">
        <v>2.5000000000000001E-2</v>
      </c>
      <c r="AJ68" s="5">
        <f t="shared" si="12"/>
        <v>0</v>
      </c>
      <c r="AK68" s="4"/>
      <c r="AL68" s="4"/>
      <c r="AM68" s="4"/>
      <c r="AN68" s="4"/>
    </row>
    <row r="69" spans="2:42" x14ac:dyDescent="0.25">
      <c r="B69" s="82"/>
      <c r="C69" s="100">
        <f>$C$37/1000</f>
        <v>0.39</v>
      </c>
      <c r="D69" s="100">
        <f>$D$37/1000</f>
        <v>0.15</v>
      </c>
      <c r="E69" s="100">
        <f>$E$37/1000</f>
        <v>0.1</v>
      </c>
      <c r="F69" s="101">
        <f>2*(D69+E69)+0.035</f>
        <v>0.53500000000000003</v>
      </c>
      <c r="G69" s="101">
        <f>2*(C69+0.7*(E69)+0.055)</f>
        <v>1.03</v>
      </c>
      <c r="H69" s="4">
        <f>H67</f>
        <v>0.19</v>
      </c>
      <c r="I69" s="121">
        <f>I42</f>
        <v>3000</v>
      </c>
      <c r="J69" s="103" t="b">
        <f>OR(AND(F69&gt;=0.3,F69&lt;=0.698,G69&gt;=0.42,G69&lt;=1.025),AND(F69&gt;=0.42,F69&lt;=1.025,G69&gt;=0.3,G69&lt;=0.698))</f>
        <v>0</v>
      </c>
      <c r="K69" s="104">
        <f>IF(J69,2,0)</f>
        <v>0</v>
      </c>
      <c r="L69" s="105">
        <f>VLOOKUP(I69/2,$S$40:$U$69,3,TRUE)</f>
        <v>0.24</v>
      </c>
      <c r="M69" s="105">
        <f>VLOOKUP(I69/2,$W$40:$Y$69,3,TRUE)</f>
        <v>0.14000000000000001</v>
      </c>
      <c r="N69" s="106">
        <f>IF(J69=FALSE,0,F69*G69*H69*I69*(1+L69+M69)/K69)</f>
        <v>0</v>
      </c>
      <c r="O69" s="86">
        <f>O67</f>
        <v>3.45</v>
      </c>
      <c r="P69" s="106">
        <f>IF(J69=FALSE,0,N69*O69)</f>
        <v>0</v>
      </c>
      <c r="S69" s="125">
        <v>40001</v>
      </c>
      <c r="T69" s="9">
        <v>50000</v>
      </c>
      <c r="U69" s="127">
        <v>0.03</v>
      </c>
      <c r="W69" s="4">
        <v>40001</v>
      </c>
      <c r="X69" s="4">
        <v>50000</v>
      </c>
      <c r="Y69" s="128">
        <v>3.5000000000000003E-2</v>
      </c>
      <c r="AB69" s="9">
        <f t="shared" si="8"/>
        <v>40001</v>
      </c>
      <c r="AC69" s="9">
        <f t="shared" si="8"/>
        <v>50000</v>
      </c>
      <c r="AD69" s="21">
        <f t="shared" si="9"/>
        <v>2800</v>
      </c>
      <c r="AE69" s="129">
        <f>AE40</f>
        <v>4</v>
      </c>
      <c r="AF69" s="129">
        <v>1.4E-2</v>
      </c>
      <c r="AG69" s="130">
        <f t="shared" si="10"/>
        <v>2800</v>
      </c>
      <c r="AH69" s="131">
        <f>AH40</f>
        <v>0</v>
      </c>
      <c r="AI69" s="131">
        <v>2.4E-2</v>
      </c>
      <c r="AJ69" s="132">
        <f t="shared" si="12"/>
        <v>0</v>
      </c>
      <c r="AK69" s="131"/>
      <c r="AL69" s="131"/>
      <c r="AM69" s="131"/>
      <c r="AN69" s="131"/>
    </row>
    <row r="70" spans="2:42" x14ac:dyDescent="0.25">
      <c r="B70" s="82"/>
      <c r="C70" s="100">
        <f>$C$37/1000</f>
        <v>0.39</v>
      </c>
      <c r="D70" s="100">
        <f>$D$37/1000</f>
        <v>0.15</v>
      </c>
      <c r="E70" s="100">
        <f>$E$37/1000</f>
        <v>0.1</v>
      </c>
      <c r="F70" s="101">
        <f>2*(D70+E70)+0.035</f>
        <v>0.53500000000000003</v>
      </c>
      <c r="G70" s="101">
        <f>2*(C70+0.7*(E70)+0.055)</f>
        <v>1.03</v>
      </c>
      <c r="H70" s="4">
        <f>H67</f>
        <v>0.19</v>
      </c>
      <c r="I70" s="121">
        <f>I43</f>
        <v>4000</v>
      </c>
      <c r="J70" s="103" t="b">
        <f>OR(AND(F70&gt;=0.3,F70&lt;=0.698,G70&gt;=0.42,G70&lt;=1.025),AND(F70&gt;=0.42,F70&lt;=1.025,G70&gt;=0.3,G70&lt;=0.698))</f>
        <v>0</v>
      </c>
      <c r="K70" s="104">
        <f>IF(J70,2,0)</f>
        <v>0</v>
      </c>
      <c r="L70" s="105">
        <f>VLOOKUP(I70/2,$S$40:$U$69,3,TRUE)</f>
        <v>0.2</v>
      </c>
      <c r="M70" s="105">
        <f>VLOOKUP(I70/2,$W$40:$Y$69,3,TRUE)</f>
        <v>0.12</v>
      </c>
      <c r="N70" s="106">
        <f>IF(J70=FALSE,0,F70*G70*H70*I70*(1+L70+M70)/K70)</f>
        <v>0</v>
      </c>
      <c r="O70" s="86">
        <f>O67</f>
        <v>3.45</v>
      </c>
      <c r="P70" s="106">
        <f>IF(J70=FALSE,0,N70*O70)</f>
        <v>0</v>
      </c>
      <c r="S70" s="9">
        <v>50001</v>
      </c>
      <c r="T70" s="9">
        <v>60000</v>
      </c>
      <c r="U70" s="127">
        <v>0.03</v>
      </c>
      <c r="W70" s="4">
        <v>50001</v>
      </c>
      <c r="X70" s="4">
        <v>60000</v>
      </c>
      <c r="Y70" s="127">
        <v>0.03</v>
      </c>
      <c r="AB70" s="9">
        <f t="shared" si="8"/>
        <v>50001</v>
      </c>
      <c r="AC70" s="9">
        <f t="shared" si="8"/>
        <v>60000</v>
      </c>
      <c r="AD70" s="21">
        <f t="shared" si="9"/>
        <v>3120</v>
      </c>
      <c r="AE70" s="39">
        <f>AE40</f>
        <v>4</v>
      </c>
      <c r="AF70" s="39">
        <v>1.2999999999999999E-2</v>
      </c>
      <c r="AG70" s="112">
        <f t="shared" si="10"/>
        <v>3120</v>
      </c>
      <c r="AH70" s="4">
        <f>AH40</f>
        <v>0</v>
      </c>
      <c r="AI70" s="4">
        <v>2.4E-2</v>
      </c>
      <c r="AJ70" s="5">
        <f t="shared" si="12"/>
        <v>0</v>
      </c>
      <c r="AK70" s="4"/>
      <c r="AL70" s="4"/>
      <c r="AM70" s="4"/>
      <c r="AN70" s="4"/>
      <c r="AP70" s="4"/>
    </row>
    <row r="71" spans="2:42" ht="15.6" customHeight="1" x14ac:dyDescent="0.25">
      <c r="S71" s="9">
        <v>60001</v>
      </c>
      <c r="T71" s="9">
        <v>70000</v>
      </c>
      <c r="U71" s="127">
        <v>0.03</v>
      </c>
      <c r="W71" s="4">
        <v>60001</v>
      </c>
      <c r="X71" s="4">
        <v>70000</v>
      </c>
      <c r="Y71" s="127">
        <v>0.03</v>
      </c>
      <c r="AB71" s="9">
        <f t="shared" si="8"/>
        <v>60001</v>
      </c>
      <c r="AC71" s="9">
        <f t="shared" si="8"/>
        <v>70000</v>
      </c>
      <c r="AD71" s="21">
        <f t="shared" si="9"/>
        <v>3360</v>
      </c>
      <c r="AE71" s="39">
        <f>AE40</f>
        <v>4</v>
      </c>
      <c r="AF71" s="39">
        <v>1.2E-2</v>
      </c>
      <c r="AG71" s="112">
        <f t="shared" si="10"/>
        <v>3360</v>
      </c>
      <c r="AH71" s="4">
        <f>AH40</f>
        <v>0</v>
      </c>
      <c r="AI71" s="4">
        <v>2.4E-2</v>
      </c>
      <c r="AJ71" s="5">
        <f t="shared" si="12"/>
        <v>0</v>
      </c>
      <c r="AK71" s="4"/>
      <c r="AL71" s="4"/>
      <c r="AM71" s="4"/>
      <c r="AN71" s="4"/>
      <c r="AP71" s="4"/>
    </row>
    <row r="72" spans="2:42" x14ac:dyDescent="0.25">
      <c r="S72" s="9">
        <v>70001</v>
      </c>
      <c r="T72" s="9">
        <v>80000</v>
      </c>
      <c r="U72" s="127">
        <v>0.03</v>
      </c>
      <c r="W72" s="4">
        <v>70001</v>
      </c>
      <c r="X72" s="4">
        <v>80000</v>
      </c>
      <c r="Y72" s="127">
        <v>0.03</v>
      </c>
      <c r="AB72" s="9">
        <f t="shared" si="8"/>
        <v>70001</v>
      </c>
      <c r="AC72" s="9">
        <f t="shared" si="8"/>
        <v>80000</v>
      </c>
      <c r="AD72" s="21">
        <f t="shared" si="9"/>
        <v>3840</v>
      </c>
      <c r="AE72" s="39">
        <f>AE40</f>
        <v>4</v>
      </c>
      <c r="AF72" s="39">
        <v>1.2E-2</v>
      </c>
      <c r="AG72" s="112">
        <f t="shared" si="10"/>
        <v>3840</v>
      </c>
      <c r="AH72" s="4">
        <f>AH40</f>
        <v>0</v>
      </c>
      <c r="AI72" s="4">
        <v>2.4E-2</v>
      </c>
      <c r="AJ72" s="5">
        <f t="shared" si="12"/>
        <v>0</v>
      </c>
      <c r="AK72" s="4"/>
      <c r="AL72" s="4"/>
      <c r="AM72" s="4"/>
      <c r="AN72" s="4"/>
      <c r="AP72" s="4"/>
    </row>
    <row r="73" spans="2:42" x14ac:dyDescent="0.25">
      <c r="H73" s="4" t="s">
        <v>122</v>
      </c>
      <c r="I73" s="4" t="s">
        <v>123</v>
      </c>
      <c r="J73" s="4" t="s">
        <v>124</v>
      </c>
      <c r="S73" s="9">
        <v>80001</v>
      </c>
      <c r="T73" s="9">
        <v>90000</v>
      </c>
      <c r="U73" s="127">
        <v>0.03</v>
      </c>
      <c r="W73" s="4">
        <v>80001</v>
      </c>
      <c r="X73" s="4">
        <v>90000</v>
      </c>
      <c r="Y73" s="127">
        <v>0.03</v>
      </c>
      <c r="AB73" s="9">
        <f t="shared" si="8"/>
        <v>80001</v>
      </c>
      <c r="AC73" s="9">
        <f t="shared" si="8"/>
        <v>90000</v>
      </c>
      <c r="AD73" s="21">
        <f t="shared" si="9"/>
        <v>3959.9999999999995</v>
      </c>
      <c r="AE73" s="39">
        <f>AE40</f>
        <v>4</v>
      </c>
      <c r="AF73" s="39">
        <v>1.0999999999999999E-2</v>
      </c>
      <c r="AG73" s="112">
        <f t="shared" si="10"/>
        <v>3959.9999999999995</v>
      </c>
      <c r="AH73" s="4">
        <f>AH40</f>
        <v>0</v>
      </c>
      <c r="AI73" s="4">
        <v>2.3E-2</v>
      </c>
      <c r="AJ73" s="5">
        <f t="shared" si="12"/>
        <v>0</v>
      </c>
      <c r="AK73" s="4"/>
      <c r="AL73" s="4"/>
      <c r="AM73" s="4"/>
      <c r="AN73" s="4"/>
      <c r="AP73" s="4"/>
    </row>
    <row r="74" spans="2:42" x14ac:dyDescent="0.25">
      <c r="H74" s="133" t="s">
        <v>125</v>
      </c>
      <c r="I74" s="4">
        <v>0.1</v>
      </c>
      <c r="J74" s="134">
        <v>2.35</v>
      </c>
      <c r="Q74" s="50" t="s">
        <v>126</v>
      </c>
      <c r="S74" s="9">
        <v>90001</v>
      </c>
      <c r="T74" s="9">
        <v>100000</v>
      </c>
      <c r="U74" s="127">
        <v>0.03</v>
      </c>
      <c r="W74" s="4">
        <v>90001</v>
      </c>
      <c r="X74" s="4">
        <v>100000</v>
      </c>
      <c r="Y74" s="127">
        <v>0.03</v>
      </c>
      <c r="AB74" s="9">
        <f t="shared" si="8"/>
        <v>90001</v>
      </c>
      <c r="AC74" s="9">
        <f t="shared" si="8"/>
        <v>100000</v>
      </c>
      <c r="AD74" s="21">
        <f t="shared" si="9"/>
        <v>4200</v>
      </c>
      <c r="AE74" s="39">
        <f>AE40</f>
        <v>4</v>
      </c>
      <c r="AF74" s="39">
        <v>1.0500000000000001E-2</v>
      </c>
      <c r="AG74" s="112">
        <f t="shared" si="10"/>
        <v>4200</v>
      </c>
      <c r="AH74" s="4">
        <f>AH40</f>
        <v>0</v>
      </c>
      <c r="AI74" s="4">
        <v>2.3E-2</v>
      </c>
      <c r="AJ74" s="5">
        <f t="shared" si="12"/>
        <v>0</v>
      </c>
      <c r="AK74" s="4"/>
      <c r="AL74" s="4"/>
      <c r="AM74" s="4"/>
      <c r="AN74" s="4"/>
      <c r="AP74" s="4"/>
    </row>
    <row r="75" spans="2:42" x14ac:dyDescent="0.25">
      <c r="H75" s="133" t="s">
        <v>127</v>
      </c>
      <c r="I75" s="4">
        <v>0.12</v>
      </c>
      <c r="J75" s="134">
        <v>2.25</v>
      </c>
      <c r="Q75" s="50" t="s">
        <v>30</v>
      </c>
      <c r="S75" s="9">
        <v>100001</v>
      </c>
      <c r="T75" s="9">
        <v>150000</v>
      </c>
      <c r="U75" s="127">
        <v>0.03</v>
      </c>
      <c r="W75" s="4">
        <v>100001</v>
      </c>
      <c r="X75" s="4">
        <v>150000</v>
      </c>
      <c r="Y75" s="127">
        <v>0.03</v>
      </c>
      <c r="AB75" s="9">
        <f t="shared" si="8"/>
        <v>100001</v>
      </c>
      <c r="AC75" s="9">
        <f t="shared" si="8"/>
        <v>150000</v>
      </c>
      <c r="AD75" s="21">
        <f t="shared" si="9"/>
        <v>6000</v>
      </c>
      <c r="AE75" s="39">
        <f>AE40</f>
        <v>4</v>
      </c>
      <c r="AF75" s="39">
        <v>0.01</v>
      </c>
      <c r="AG75" s="112">
        <f t="shared" si="10"/>
        <v>6000</v>
      </c>
      <c r="AH75" s="4">
        <f>AH40</f>
        <v>0</v>
      </c>
      <c r="AI75" s="4">
        <v>2.3E-2</v>
      </c>
      <c r="AJ75" s="5">
        <f t="shared" si="12"/>
        <v>0</v>
      </c>
      <c r="AK75" s="4"/>
      <c r="AL75" s="4"/>
      <c r="AM75" s="4"/>
      <c r="AN75" s="4"/>
      <c r="AP75" s="4"/>
    </row>
    <row r="76" spans="2:42" x14ac:dyDescent="0.25">
      <c r="H76" s="133" t="s">
        <v>128</v>
      </c>
      <c r="I76" s="4">
        <v>0.14000000000000001</v>
      </c>
      <c r="J76" s="134">
        <v>2.2999999999999998</v>
      </c>
      <c r="Q76" s="50" t="s">
        <v>129</v>
      </c>
      <c r="S76" s="9">
        <v>150001</v>
      </c>
      <c r="T76" s="9">
        <v>200000</v>
      </c>
      <c r="U76" s="127">
        <v>0.03</v>
      </c>
      <c r="W76" s="4">
        <v>150001</v>
      </c>
      <c r="X76" s="4">
        <v>200000</v>
      </c>
      <c r="Y76" s="127">
        <v>0.03</v>
      </c>
      <c r="AB76" s="9">
        <f t="shared" si="8"/>
        <v>150001</v>
      </c>
      <c r="AC76" s="9">
        <f t="shared" si="8"/>
        <v>200000</v>
      </c>
      <c r="AD76" s="21">
        <f t="shared" si="9"/>
        <v>8000</v>
      </c>
      <c r="AE76" s="39">
        <f>AE40</f>
        <v>4</v>
      </c>
      <c r="AF76" s="39">
        <v>0.01</v>
      </c>
      <c r="AG76" s="112">
        <f t="shared" si="10"/>
        <v>8000</v>
      </c>
      <c r="AH76" s="4">
        <f>AH40</f>
        <v>0</v>
      </c>
      <c r="AI76" s="4">
        <v>2.3E-2</v>
      </c>
      <c r="AJ76" s="5">
        <f t="shared" si="12"/>
        <v>0</v>
      </c>
      <c r="AK76" s="4"/>
      <c r="AL76" s="4"/>
      <c r="AM76" s="4"/>
      <c r="AN76" s="4"/>
      <c r="AP76" s="4"/>
    </row>
    <row r="77" spans="2:42" x14ac:dyDescent="0.25">
      <c r="H77" s="133" t="s">
        <v>130</v>
      </c>
      <c r="I77" s="4">
        <v>0.17</v>
      </c>
      <c r="J77" s="134">
        <v>2.2999999999999998</v>
      </c>
      <c r="Q77" s="50" t="s">
        <v>131</v>
      </c>
      <c r="S77" s="9">
        <v>200001</v>
      </c>
      <c r="T77" s="9">
        <v>250000</v>
      </c>
      <c r="U77" s="127">
        <v>0.03</v>
      </c>
      <c r="W77" s="4">
        <v>200001</v>
      </c>
      <c r="X77" s="4">
        <v>250000</v>
      </c>
      <c r="Y77" s="127">
        <v>0.03</v>
      </c>
      <c r="AB77" s="9">
        <f t="shared" si="8"/>
        <v>200001</v>
      </c>
      <c r="AC77" s="9">
        <f t="shared" si="8"/>
        <v>250000</v>
      </c>
      <c r="AD77" s="21">
        <f t="shared" si="9"/>
        <v>9500</v>
      </c>
      <c r="AE77" s="39">
        <f>AE40</f>
        <v>4</v>
      </c>
      <c r="AF77" s="39">
        <v>9.4999999999999998E-3</v>
      </c>
      <c r="AG77" s="112">
        <f t="shared" si="10"/>
        <v>9500</v>
      </c>
      <c r="AH77" s="4">
        <f>AH40</f>
        <v>0</v>
      </c>
      <c r="AI77" s="4">
        <v>2.3E-2</v>
      </c>
      <c r="AJ77" s="5">
        <f t="shared" si="12"/>
        <v>0</v>
      </c>
      <c r="AK77" s="4"/>
      <c r="AL77" s="4"/>
      <c r="AM77" s="4"/>
      <c r="AN77" s="4"/>
      <c r="AP77" s="4"/>
    </row>
    <row r="78" spans="2:42" x14ac:dyDescent="0.25">
      <c r="H78" s="133" t="s">
        <v>132</v>
      </c>
      <c r="I78" s="4">
        <v>0.1</v>
      </c>
      <c r="J78" s="134">
        <v>4.7</v>
      </c>
      <c r="Q78" s="50" t="s">
        <v>133</v>
      </c>
      <c r="S78" s="9">
        <v>250001</v>
      </c>
      <c r="T78" s="9">
        <v>300000</v>
      </c>
      <c r="U78" s="127">
        <v>0.03</v>
      </c>
      <c r="W78" s="4">
        <v>250001</v>
      </c>
      <c r="X78" s="4">
        <v>300000</v>
      </c>
      <c r="Y78" s="127">
        <v>0.03</v>
      </c>
      <c r="AB78" s="9">
        <f t="shared" si="8"/>
        <v>250001</v>
      </c>
      <c r="AC78" s="9">
        <f t="shared" si="8"/>
        <v>300000</v>
      </c>
      <c r="AD78" s="21">
        <f t="shared" si="9"/>
        <v>11159.999999999998</v>
      </c>
      <c r="AE78" s="39">
        <f>AE40</f>
        <v>4</v>
      </c>
      <c r="AF78" s="39">
        <v>9.2999999999999992E-3</v>
      </c>
      <c r="AG78" s="112">
        <f t="shared" si="10"/>
        <v>11159.999999999998</v>
      </c>
      <c r="AH78" s="4">
        <f>AH40</f>
        <v>0</v>
      </c>
      <c r="AI78" s="4">
        <v>2.3E-2</v>
      </c>
      <c r="AJ78" s="5">
        <f t="shared" si="12"/>
        <v>0</v>
      </c>
      <c r="AK78" s="4"/>
      <c r="AL78" s="4"/>
      <c r="AM78" s="4"/>
      <c r="AN78" s="4"/>
      <c r="AP78" s="4"/>
    </row>
    <row r="79" spans="2:42" x14ac:dyDescent="0.25">
      <c r="H79" s="133" t="s">
        <v>26</v>
      </c>
      <c r="I79" s="4">
        <v>0.12</v>
      </c>
      <c r="J79" s="134">
        <v>4.5</v>
      </c>
      <c r="Q79" s="50" t="s">
        <v>134</v>
      </c>
      <c r="S79" s="9">
        <v>300001</v>
      </c>
      <c r="T79" s="9">
        <v>350000</v>
      </c>
      <c r="U79" s="127">
        <v>0.03</v>
      </c>
      <c r="W79" s="4">
        <v>300001</v>
      </c>
      <c r="X79" s="4">
        <v>350000</v>
      </c>
      <c r="Y79" s="127">
        <v>0.03</v>
      </c>
      <c r="AB79" s="9">
        <f t="shared" si="8"/>
        <v>300001</v>
      </c>
      <c r="AC79" s="9">
        <f t="shared" si="8"/>
        <v>350000</v>
      </c>
      <c r="AD79" s="21">
        <f t="shared" si="9"/>
        <v>12880</v>
      </c>
      <c r="AE79" s="39">
        <f>AE40</f>
        <v>4</v>
      </c>
      <c r="AF79" s="39">
        <v>9.1999999999999998E-3</v>
      </c>
      <c r="AG79" s="112">
        <f t="shared" si="10"/>
        <v>12880</v>
      </c>
      <c r="AH79" s="4">
        <f>AH40</f>
        <v>0</v>
      </c>
      <c r="AI79" s="4">
        <v>2.3E-2</v>
      </c>
      <c r="AJ79" s="5">
        <f t="shared" si="12"/>
        <v>0</v>
      </c>
      <c r="AK79" s="4"/>
      <c r="AL79" s="4"/>
      <c r="AM79" s="4"/>
      <c r="AN79" s="4"/>
      <c r="AP79" s="4"/>
    </row>
    <row r="80" spans="2:42" x14ac:dyDescent="0.25">
      <c r="H80" s="133" t="s">
        <v>135</v>
      </c>
      <c r="I80" s="4">
        <v>0.15</v>
      </c>
      <c r="J80" s="134">
        <v>4.7</v>
      </c>
      <c r="Q80" s="50" t="s">
        <v>136</v>
      </c>
      <c r="S80" s="9">
        <v>350001</v>
      </c>
      <c r="T80" s="9">
        <v>425000</v>
      </c>
      <c r="U80" s="127">
        <v>0.03</v>
      </c>
      <c r="W80" s="4">
        <v>350001</v>
      </c>
      <c r="X80" s="4">
        <v>425000</v>
      </c>
      <c r="Y80" s="127">
        <v>0.03</v>
      </c>
      <c r="AB80" s="9">
        <f t="shared" si="8"/>
        <v>350001</v>
      </c>
      <c r="AC80" s="9">
        <f t="shared" si="8"/>
        <v>425000</v>
      </c>
      <c r="AD80" s="21">
        <f t="shared" si="9"/>
        <v>15470</v>
      </c>
      <c r="AE80" s="39">
        <f>AE40</f>
        <v>4</v>
      </c>
      <c r="AF80" s="39">
        <v>9.1000000000000004E-3</v>
      </c>
      <c r="AG80" s="112">
        <f t="shared" si="10"/>
        <v>15470</v>
      </c>
      <c r="AH80" s="4">
        <f>AH40</f>
        <v>0</v>
      </c>
      <c r="AI80" s="4">
        <v>2.1999999999999999E-2</v>
      </c>
      <c r="AJ80" s="5">
        <f t="shared" si="12"/>
        <v>0</v>
      </c>
      <c r="AK80" s="4"/>
      <c r="AL80" s="4"/>
      <c r="AM80" s="4"/>
      <c r="AN80" s="4"/>
      <c r="AP80" s="4"/>
    </row>
    <row r="81" spans="1:42" x14ac:dyDescent="0.25">
      <c r="H81" s="133" t="s">
        <v>137</v>
      </c>
      <c r="I81" s="4">
        <v>0.18</v>
      </c>
      <c r="J81" s="134">
        <v>4.7</v>
      </c>
      <c r="Q81" s="50" t="s">
        <v>138</v>
      </c>
      <c r="S81" s="9">
        <v>425001</v>
      </c>
      <c r="T81" s="9">
        <v>500000</v>
      </c>
      <c r="U81" s="127">
        <v>0.03</v>
      </c>
      <c r="W81" s="4">
        <v>425001</v>
      </c>
      <c r="X81" s="4">
        <v>500000</v>
      </c>
      <c r="Y81" s="127">
        <v>0.03</v>
      </c>
      <c r="AB81" s="9">
        <f t="shared" si="8"/>
        <v>425001</v>
      </c>
      <c r="AC81" s="9">
        <f t="shared" si="8"/>
        <v>500000</v>
      </c>
      <c r="AD81" s="21">
        <f t="shared" si="9"/>
        <v>18200</v>
      </c>
      <c r="AE81" s="39">
        <f>AE40</f>
        <v>4</v>
      </c>
      <c r="AF81" s="39">
        <v>9.1000000000000004E-3</v>
      </c>
      <c r="AG81" s="112">
        <f t="shared" si="10"/>
        <v>18200</v>
      </c>
      <c r="AH81" s="4">
        <f>AH40</f>
        <v>0</v>
      </c>
      <c r="AI81" s="4">
        <v>2.1999999999999999E-2</v>
      </c>
      <c r="AJ81" s="5">
        <f t="shared" si="12"/>
        <v>0</v>
      </c>
      <c r="AK81" s="4"/>
      <c r="AL81" s="4"/>
      <c r="AM81" s="4"/>
      <c r="AN81" s="4"/>
      <c r="AP81" s="4"/>
    </row>
    <row r="82" spans="1:42" x14ac:dyDescent="0.25">
      <c r="H82" s="133" t="s">
        <v>139</v>
      </c>
      <c r="I82" s="4">
        <v>0.157</v>
      </c>
      <c r="J82" s="134">
        <v>3.6</v>
      </c>
      <c r="Q82" s="50" t="s">
        <v>140</v>
      </c>
      <c r="S82" s="9">
        <v>500001</v>
      </c>
      <c r="T82" s="9">
        <v>600000</v>
      </c>
      <c r="U82" s="127">
        <v>0.03</v>
      </c>
      <c r="W82" s="4">
        <v>500001</v>
      </c>
      <c r="X82" s="4">
        <v>600000</v>
      </c>
      <c r="Y82" s="127">
        <v>0.03</v>
      </c>
      <c r="AB82" s="9">
        <f t="shared" si="8"/>
        <v>500001</v>
      </c>
      <c r="AC82" s="9">
        <f t="shared" si="8"/>
        <v>600000</v>
      </c>
      <c r="AD82" s="21">
        <f t="shared" si="9"/>
        <v>21600</v>
      </c>
      <c r="AE82" s="39">
        <f>AE40</f>
        <v>4</v>
      </c>
      <c r="AF82" s="39">
        <v>8.9999999999999993E-3</v>
      </c>
      <c r="AG82" s="112">
        <f t="shared" si="10"/>
        <v>21600</v>
      </c>
      <c r="AH82" s="4">
        <f>AH40</f>
        <v>0</v>
      </c>
      <c r="AI82" s="4">
        <v>2.1999999999999999E-2</v>
      </c>
      <c r="AJ82" s="5">
        <f t="shared" si="12"/>
        <v>0</v>
      </c>
      <c r="AK82" s="4"/>
      <c r="AL82" s="4"/>
      <c r="AM82" s="4"/>
      <c r="AN82" s="4"/>
      <c r="AP82" s="4"/>
    </row>
    <row r="83" spans="1:42" x14ac:dyDescent="0.25">
      <c r="H83" s="133" t="s">
        <v>141</v>
      </c>
      <c r="I83" s="4">
        <v>0.19</v>
      </c>
      <c r="J83" s="134">
        <v>3.45</v>
      </c>
      <c r="Q83" s="50" t="s">
        <v>142</v>
      </c>
      <c r="S83" s="9">
        <v>600001</v>
      </c>
      <c r="T83" s="9">
        <v>700000</v>
      </c>
      <c r="U83" s="127">
        <v>0.03</v>
      </c>
      <c r="W83" s="4">
        <v>600001</v>
      </c>
      <c r="X83" s="4">
        <v>700000</v>
      </c>
      <c r="Y83" s="127">
        <v>0.03</v>
      </c>
      <c r="AB83" s="9">
        <f t="shared" si="8"/>
        <v>600001</v>
      </c>
      <c r="AC83" s="9">
        <f t="shared" si="8"/>
        <v>700000</v>
      </c>
      <c r="AD83" s="21">
        <f t="shared" si="9"/>
        <v>25199.999999999996</v>
      </c>
      <c r="AE83" s="39">
        <f>AE40</f>
        <v>4</v>
      </c>
      <c r="AF83" s="39">
        <v>8.9999999999999993E-3</v>
      </c>
      <c r="AG83" s="112">
        <f t="shared" si="10"/>
        <v>25199.999999999996</v>
      </c>
      <c r="AH83" s="4">
        <f>AH40</f>
        <v>0</v>
      </c>
      <c r="AI83" s="4">
        <v>2.1999999999999999E-2</v>
      </c>
      <c r="AJ83" s="5">
        <f t="shared" si="12"/>
        <v>0</v>
      </c>
      <c r="AK83" s="4"/>
      <c r="AL83" s="4"/>
      <c r="AM83" s="4"/>
      <c r="AN83" s="4"/>
      <c r="AP83" s="4"/>
    </row>
    <row r="84" spans="1:42" x14ac:dyDescent="0.25">
      <c r="H84" s="135" t="s">
        <v>143</v>
      </c>
      <c r="I84" s="136">
        <v>0.21</v>
      </c>
      <c r="J84" s="137">
        <v>3.55</v>
      </c>
      <c r="Q84" s="50" t="s">
        <v>144</v>
      </c>
      <c r="S84" s="9">
        <v>700001</v>
      </c>
      <c r="T84" s="9">
        <v>800000</v>
      </c>
      <c r="U84" s="127">
        <v>0.03</v>
      </c>
      <c r="W84" s="4">
        <v>700001</v>
      </c>
      <c r="X84" s="4">
        <v>800000</v>
      </c>
      <c r="Y84" s="127">
        <v>0.03</v>
      </c>
      <c r="AB84" s="9">
        <f t="shared" si="8"/>
        <v>700001</v>
      </c>
      <c r="AC84" s="9">
        <f t="shared" si="8"/>
        <v>800000</v>
      </c>
      <c r="AD84" s="21">
        <f t="shared" si="9"/>
        <v>28799.999999999996</v>
      </c>
      <c r="AE84" s="39">
        <f>AE40</f>
        <v>4</v>
      </c>
      <c r="AF84" s="39">
        <v>8.9999999999999993E-3</v>
      </c>
      <c r="AG84" s="112">
        <f t="shared" si="10"/>
        <v>28799.999999999996</v>
      </c>
      <c r="AH84" s="4">
        <f>AH40</f>
        <v>0</v>
      </c>
      <c r="AI84" s="4">
        <v>2.1999999999999999E-2</v>
      </c>
      <c r="AJ84" s="5">
        <f t="shared" si="12"/>
        <v>0</v>
      </c>
      <c r="AK84" s="4"/>
      <c r="AL84" s="4"/>
      <c r="AM84" s="4"/>
      <c r="AN84" s="4"/>
      <c r="AP84" s="4"/>
    </row>
    <row r="85" spans="1:42" x14ac:dyDescent="0.25">
      <c r="H85" s="133" t="s">
        <v>145</v>
      </c>
      <c r="I85" s="4">
        <v>0.23</v>
      </c>
      <c r="J85" s="134">
        <v>3.55</v>
      </c>
      <c r="Q85" s="138" t="s">
        <v>146</v>
      </c>
      <c r="S85" s="9">
        <v>800001</v>
      </c>
      <c r="T85" s="9">
        <v>900000</v>
      </c>
      <c r="U85" s="127">
        <v>0.03</v>
      </c>
      <c r="W85" s="4">
        <v>800001</v>
      </c>
      <c r="X85" s="4">
        <v>900000</v>
      </c>
      <c r="Y85" s="127">
        <v>0.03</v>
      </c>
      <c r="AB85" s="9">
        <f t="shared" si="8"/>
        <v>800001</v>
      </c>
      <c r="AC85" s="9">
        <f t="shared" si="8"/>
        <v>900000</v>
      </c>
      <c r="AD85" s="21">
        <f t="shared" si="9"/>
        <v>32040</v>
      </c>
      <c r="AE85" s="39">
        <f>AE40</f>
        <v>4</v>
      </c>
      <c r="AF85" s="39">
        <v>8.8999999999999999E-3</v>
      </c>
      <c r="AG85" s="112">
        <f t="shared" si="10"/>
        <v>32040</v>
      </c>
      <c r="AH85" s="4">
        <f>AH40</f>
        <v>0</v>
      </c>
      <c r="AI85" s="4">
        <v>2.1000000000000001E-2</v>
      </c>
      <c r="AJ85" s="5">
        <f t="shared" si="12"/>
        <v>0</v>
      </c>
      <c r="AK85" s="4"/>
      <c r="AL85" s="4"/>
      <c r="AM85" s="4"/>
      <c r="AN85" s="4"/>
      <c r="AP85" s="4"/>
    </row>
    <row r="86" spans="1:42" x14ac:dyDescent="0.25">
      <c r="H86" s="139" t="s">
        <v>147</v>
      </c>
      <c r="I86" s="4">
        <v>0.1</v>
      </c>
      <c r="J86" s="4">
        <v>4.5</v>
      </c>
      <c r="Q86" s="138" t="s">
        <v>148</v>
      </c>
      <c r="S86" s="9">
        <v>900001</v>
      </c>
      <c r="T86" s="9">
        <v>1000000</v>
      </c>
      <c r="U86" s="127">
        <v>0.03</v>
      </c>
      <c r="W86" s="4">
        <v>900001</v>
      </c>
      <c r="X86" s="4">
        <v>1000000</v>
      </c>
      <c r="Y86" s="127">
        <v>0.03</v>
      </c>
      <c r="AB86" s="9">
        <f t="shared" si="8"/>
        <v>900001</v>
      </c>
      <c r="AC86" s="140">
        <f t="shared" si="8"/>
        <v>1000000</v>
      </c>
      <c r="AD86" s="21">
        <f t="shared" si="9"/>
        <v>34000</v>
      </c>
      <c r="AE86" s="39">
        <f>AE40</f>
        <v>4</v>
      </c>
      <c r="AF86" s="39">
        <v>8.5000000000000006E-3</v>
      </c>
      <c r="AG86" s="112">
        <f t="shared" si="10"/>
        <v>34000</v>
      </c>
      <c r="AH86" s="4">
        <f>AH40</f>
        <v>0</v>
      </c>
      <c r="AI86" s="4">
        <v>0.02</v>
      </c>
      <c r="AJ86" s="5">
        <f t="shared" si="12"/>
        <v>0</v>
      </c>
      <c r="AK86" s="4"/>
      <c r="AL86" s="4"/>
      <c r="AM86" s="4"/>
      <c r="AN86" s="4"/>
      <c r="AP86" s="4"/>
    </row>
    <row r="87" spans="1:42" x14ac:dyDescent="0.25">
      <c r="H87" s="50"/>
      <c r="I87" s="4"/>
      <c r="J87" s="4"/>
    </row>
    <row r="88" spans="1:42" x14ac:dyDescent="0.25">
      <c r="H88" s="50"/>
      <c r="I88" s="4"/>
      <c r="J88" s="4"/>
    </row>
    <row r="89" spans="1:42" x14ac:dyDescent="0.25">
      <c r="H89" s="50"/>
      <c r="I89" s="4"/>
      <c r="J89" s="4"/>
    </row>
    <row r="91" spans="1:42" s="80" customFormat="1" x14ac:dyDescent="0.25">
      <c r="A91" s="226" t="s">
        <v>149</v>
      </c>
      <c r="B91" s="226"/>
      <c r="C91" s="226"/>
      <c r="Q91" s="226" t="s">
        <v>149</v>
      </c>
      <c r="R91" s="226"/>
      <c r="S91" s="226"/>
    </row>
    <row r="92" spans="1:42" ht="18.75" x14ac:dyDescent="0.3">
      <c r="B92" s="81" t="s">
        <v>150</v>
      </c>
      <c r="C92" s="81"/>
      <c r="D92" s="81"/>
      <c r="E92" s="81"/>
      <c r="F92" s="81"/>
      <c r="G92" s="81"/>
      <c r="H92" s="81"/>
    </row>
    <row r="93" spans="1:42" ht="19.5" thickBot="1" x14ac:dyDescent="0.35">
      <c r="B93" s="81"/>
      <c r="C93" s="81"/>
      <c r="D93" s="81"/>
      <c r="E93" s="81"/>
      <c r="F93" s="81"/>
      <c r="G93" s="81"/>
      <c r="H93" s="81"/>
    </row>
    <row r="94" spans="1:42" ht="15.75" thickBot="1" x14ac:dyDescent="0.3">
      <c r="B94" s="82" t="s">
        <v>0</v>
      </c>
      <c r="C94" s="83">
        <f>C37</f>
        <v>390</v>
      </c>
      <c r="D94" s="115">
        <f>D37</f>
        <v>150</v>
      </c>
      <c r="E94" s="83">
        <f>E37</f>
        <v>100</v>
      </c>
      <c r="F94" s="116">
        <f>C94+0.5*E94+23</f>
        <v>463</v>
      </c>
      <c r="G94" s="117">
        <v>113</v>
      </c>
      <c r="H94" s="126">
        <v>358.77499999999998</v>
      </c>
      <c r="I94" s="82"/>
    </row>
    <row r="95" spans="1:42" ht="30.75" thickBot="1" x14ac:dyDescent="0.3">
      <c r="B95" s="82"/>
      <c r="C95" s="82"/>
      <c r="D95" s="82"/>
      <c r="E95" s="82"/>
      <c r="F95" s="227" t="s">
        <v>85</v>
      </c>
      <c r="G95" s="228"/>
      <c r="H95" s="83" t="s">
        <v>151</v>
      </c>
      <c r="I95" s="86" t="s">
        <v>86</v>
      </c>
      <c r="J95" s="87" t="s">
        <v>87</v>
      </c>
      <c r="K95" s="4" t="s">
        <v>88</v>
      </c>
      <c r="L95" s="93" t="s">
        <v>152</v>
      </c>
      <c r="M95" s="4" t="s">
        <v>153</v>
      </c>
      <c r="Q95" s="141" t="s">
        <v>154</v>
      </c>
    </row>
    <row r="96" spans="1:42" x14ac:dyDescent="0.25">
      <c r="B96" s="82"/>
      <c r="C96" s="83" t="s">
        <v>5</v>
      </c>
      <c r="D96" s="83" t="s">
        <v>6</v>
      </c>
      <c r="E96" s="83" t="s">
        <v>7</v>
      </c>
      <c r="F96" s="83" t="s">
        <v>109</v>
      </c>
      <c r="G96" s="83" t="s">
        <v>110</v>
      </c>
      <c r="H96" s="142" t="str">
        <f>E9</f>
        <v>process 4c x 0c</v>
      </c>
      <c r="I96" s="83"/>
      <c r="J96" s="85" t="s">
        <v>111</v>
      </c>
      <c r="L96" s="85"/>
      <c r="M96" s="4"/>
    </row>
    <row r="97" spans="2:17" x14ac:dyDescent="0.25">
      <c r="B97" s="143" t="s">
        <v>0</v>
      </c>
      <c r="C97" s="100">
        <f>$C$37/1000</f>
        <v>0.39</v>
      </c>
      <c r="D97" s="100">
        <f>$D$37/1000</f>
        <v>0.15</v>
      </c>
      <c r="E97" s="100">
        <f>$E$37/1000</f>
        <v>0.1</v>
      </c>
      <c r="F97" s="101">
        <f>2*(D97+E97)+0.035</f>
        <v>0.53500000000000003</v>
      </c>
      <c r="G97" s="101">
        <f>C97+0.7*(E97)+0.055</f>
        <v>0.51500000000000001</v>
      </c>
      <c r="H97" s="144" t="str">
        <f>H96</f>
        <v>process 4c x 0c</v>
      </c>
      <c r="I97" s="121">
        <f>I40</f>
        <v>1000</v>
      </c>
      <c r="J97" s="104" t="b">
        <f>AND(F97&gt;=0.533,F97&lt;=1.025,G97&gt;=0.318,G97&lt;=0.698)</f>
        <v>1</v>
      </c>
      <c r="K97" s="104">
        <f>IF(J97,1,0)</f>
        <v>1</v>
      </c>
      <c r="L97" s="69">
        <f>IF(J97=TRUE,I97/K97,0)</f>
        <v>1000</v>
      </c>
      <c r="M97" s="13">
        <f>IF(J97=FALSE,0,IFERROR(INDEX($AD$40:$AD$86,MATCH(L97,$AB$40:$AB$86,1)),"Not Found"))</f>
        <v>278.40000000000003</v>
      </c>
      <c r="Q97" s="59">
        <f>SUM(M97,M106,M115,M124)/MAX(1,SUM((M97&gt;0)+(M106&gt;0)+(M115&gt;0)+(M124&gt;0)))</f>
        <v>278.40000000000003</v>
      </c>
    </row>
    <row r="98" spans="2:17" x14ac:dyDescent="0.25">
      <c r="B98" s="82"/>
      <c r="C98" s="100">
        <f>$C$37/1000</f>
        <v>0.39</v>
      </c>
      <c r="D98" s="100">
        <f>$D$37/1000</f>
        <v>0.15</v>
      </c>
      <c r="E98" s="100">
        <f>$E$37/1000</f>
        <v>0.1</v>
      </c>
      <c r="F98" s="101">
        <f>2*(D98+E98)+0.035</f>
        <v>0.53500000000000003</v>
      </c>
      <c r="G98" s="101">
        <f>C98+0.7*(E98)+0.055</f>
        <v>0.51500000000000001</v>
      </c>
      <c r="H98" s="144" t="str">
        <f>H96</f>
        <v>process 4c x 0c</v>
      </c>
      <c r="I98" s="121">
        <f>I41</f>
        <v>2000</v>
      </c>
      <c r="J98" s="104" t="b">
        <f>AND(F98&gt;=0.533,F98&lt;=1.025,G98&gt;=0.318,G98&lt;=0.698)</f>
        <v>1</v>
      </c>
      <c r="K98" s="104">
        <f>IF(J98,1,0)</f>
        <v>1</v>
      </c>
      <c r="L98" s="69">
        <f>IF(J98=TRUE,I98/K98,0)</f>
        <v>2000</v>
      </c>
      <c r="M98" s="13">
        <f>IF(J98=FALSE,0,IFERROR(INDEX($AD$40:$AD$86,MATCH(L98,$AB$40:$AB$86,1)),"Not Found"))</f>
        <v>288</v>
      </c>
      <c r="Q98" s="59">
        <f>SUM(M98,M107,M116,M125)/MAX(1,SUM((M98&gt;0)+(M107&gt;0)+(M116&gt;0)+(M125&gt;0)))</f>
        <v>288</v>
      </c>
    </row>
    <row r="99" spans="2:17" x14ac:dyDescent="0.25">
      <c r="B99" s="82"/>
      <c r="C99" s="100">
        <f>$C$37/1000</f>
        <v>0.39</v>
      </c>
      <c r="D99" s="100">
        <f>$D$37/1000</f>
        <v>0.15</v>
      </c>
      <c r="E99" s="100">
        <f>$E$37/1000</f>
        <v>0.1</v>
      </c>
      <c r="F99" s="101">
        <f>2*(D99+E99)+0.035</f>
        <v>0.53500000000000003</v>
      </c>
      <c r="G99" s="101">
        <f>C99+0.7*(E99)+0.055</f>
        <v>0.51500000000000001</v>
      </c>
      <c r="H99" s="144" t="str">
        <f>H96</f>
        <v>process 4c x 0c</v>
      </c>
      <c r="I99" s="121">
        <f>I42</f>
        <v>3000</v>
      </c>
      <c r="J99" s="104" t="b">
        <f>AND(F99&gt;=0.533,F99&lt;=1.025,G99&gt;=0.318,G99&lt;=0.698)</f>
        <v>1</v>
      </c>
      <c r="K99" s="104">
        <f>IF(J99,1,0)</f>
        <v>1</v>
      </c>
      <c r="L99" s="69">
        <f>IF(J99=TRUE,I99/K99,0)</f>
        <v>3000</v>
      </c>
      <c r="M99" s="13">
        <f>IF(J99=FALSE,0,IFERROR(INDEX($AD$40:$AD$86,MATCH(L99,$AB$40:$AB$86,1)),"Not Found"))</f>
        <v>324</v>
      </c>
      <c r="Q99" s="59">
        <f>SUM(M99,M108,M117,M126)/MAX(1,SUM((M99&gt;0)+(M108&gt;0)+(M117&gt;0)+(M126&gt;0)))</f>
        <v>324</v>
      </c>
    </row>
    <row r="100" spans="2:17" x14ac:dyDescent="0.25">
      <c r="B100" s="82"/>
      <c r="C100" s="100">
        <f>$C$37/1000</f>
        <v>0.39</v>
      </c>
      <c r="D100" s="100">
        <f>$D$37/1000</f>
        <v>0.15</v>
      </c>
      <c r="E100" s="100">
        <f>$E$37/1000</f>
        <v>0.1</v>
      </c>
      <c r="F100" s="101">
        <f>2*(D100+E100)+0.035</f>
        <v>0.53500000000000003</v>
      </c>
      <c r="G100" s="101">
        <f>C100+0.7*(E100)+0.055</f>
        <v>0.51500000000000001</v>
      </c>
      <c r="H100" s="144" t="str">
        <f>H96</f>
        <v>process 4c x 0c</v>
      </c>
      <c r="I100" s="121">
        <f>I43</f>
        <v>4000</v>
      </c>
      <c r="J100" s="104" t="b">
        <f>AND(F100&gt;=0.533,F100&lt;=1.025,G100&gt;=0.318,G100&lt;=0.698)</f>
        <v>1</v>
      </c>
      <c r="K100" s="104">
        <f>IF(J100,1,0)</f>
        <v>1</v>
      </c>
      <c r="L100" s="69">
        <f>IF(J100=TRUE,I100/K100,0)</f>
        <v>4000</v>
      </c>
      <c r="M100" s="13">
        <f>IF(J100=FALSE,0,IFERROR(INDEX($AD$40:$AD$86,MATCH(L100,$AB$40:$AB$86,1)),"Not Found"))</f>
        <v>352</v>
      </c>
      <c r="Q100" s="59">
        <f>SUM(M100,M109,M118,M127)/MAX(1,SUM((M100&gt;0)+(M109&gt;0)+(M118&gt;0)+(M127&gt;0)))</f>
        <v>352</v>
      </c>
    </row>
    <row r="101" spans="2:17" x14ac:dyDescent="0.25">
      <c r="O101" s="145"/>
    </row>
    <row r="102" spans="2:17" ht="15.75" thickBot="1" x14ac:dyDescent="0.3"/>
    <row r="103" spans="2:17" ht="15.75" thickBot="1" x14ac:dyDescent="0.3">
      <c r="B103" s="82" t="s">
        <v>0</v>
      </c>
      <c r="C103" s="83">
        <f>C94</f>
        <v>390</v>
      </c>
      <c r="D103" s="115">
        <f>D94</f>
        <v>150</v>
      </c>
      <c r="E103" s="83">
        <f>E94</f>
        <v>100</v>
      </c>
      <c r="F103" s="116">
        <f>C103+0.5*E103+23</f>
        <v>463</v>
      </c>
      <c r="G103" s="117">
        <v>113</v>
      </c>
      <c r="H103" s="118">
        <v>358.77499999999998</v>
      </c>
      <c r="I103" s="82"/>
    </row>
    <row r="104" spans="2:17" ht="30" x14ac:dyDescent="0.25">
      <c r="B104" s="82"/>
      <c r="C104" s="82"/>
      <c r="D104" s="82"/>
      <c r="E104" s="82"/>
      <c r="F104" s="229" t="s">
        <v>112</v>
      </c>
      <c r="G104" s="230"/>
      <c r="H104" s="83" t="s">
        <v>151</v>
      </c>
      <c r="I104" s="119" t="s">
        <v>86</v>
      </c>
      <c r="J104" s="4" t="s">
        <v>113</v>
      </c>
      <c r="K104" s="4"/>
      <c r="L104" s="93" t="s">
        <v>152</v>
      </c>
      <c r="M104" s="4" t="s">
        <v>153</v>
      </c>
    </row>
    <row r="105" spans="2:17" x14ac:dyDescent="0.25">
      <c r="B105" s="82"/>
      <c r="C105" s="83" t="s">
        <v>5</v>
      </c>
      <c r="D105" s="83" t="s">
        <v>6</v>
      </c>
      <c r="E105" s="83" t="s">
        <v>7</v>
      </c>
      <c r="F105" s="83" t="s">
        <v>115</v>
      </c>
      <c r="G105" s="83" t="s">
        <v>116</v>
      </c>
      <c r="H105" s="4" t="str">
        <f>H96</f>
        <v>process 4c x 0c</v>
      </c>
      <c r="I105" s="83"/>
      <c r="J105" s="85"/>
      <c r="K105" s="85"/>
      <c r="L105" s="85"/>
      <c r="M105" s="4"/>
    </row>
    <row r="106" spans="2:17" x14ac:dyDescent="0.25">
      <c r="B106" s="143" t="s">
        <v>0</v>
      </c>
      <c r="C106" s="100">
        <f>$C$37/1000</f>
        <v>0.39</v>
      </c>
      <c r="D106" s="100">
        <f>$D$37/1000</f>
        <v>0.15</v>
      </c>
      <c r="E106" s="100">
        <f>$E$37/1000</f>
        <v>0.1</v>
      </c>
      <c r="F106" s="101">
        <f>1*(D106+E106)+0.035</f>
        <v>0.28500000000000003</v>
      </c>
      <c r="G106" s="101">
        <f>2*(C106+0.7*(E106)+0.055)</f>
        <v>1.03</v>
      </c>
      <c r="H106" s="146" t="str">
        <f>H96</f>
        <v>process 4c x 0c</v>
      </c>
      <c r="I106" s="121">
        <f>I49</f>
        <v>1000</v>
      </c>
      <c r="J106" s="122" t="b">
        <f>AND(F106&gt;=0.318,F106&lt;=0.698,G106&gt;=0.533,G106&lt;=1.025)</f>
        <v>0</v>
      </c>
      <c r="K106" s="122">
        <f>IF(J106,1,0)</f>
        <v>0</v>
      </c>
      <c r="L106" s="69">
        <f>IF(J106=TRUE,I106/K106,0)</f>
        <v>0</v>
      </c>
      <c r="M106" s="13">
        <f>IF(J106=FALSE,0,IFERROR(INDEX($AD$40:$AD$86,MATCH(L106,$AB$40:$AB$86,1)),"Not Found"))</f>
        <v>0</v>
      </c>
    </row>
    <row r="107" spans="2:17" x14ac:dyDescent="0.25">
      <c r="B107" s="82"/>
      <c r="C107" s="100">
        <f>$C$37/1000</f>
        <v>0.39</v>
      </c>
      <c r="D107" s="100">
        <f>$D$37/1000</f>
        <v>0.15</v>
      </c>
      <c r="E107" s="100">
        <f>$E$37/1000</f>
        <v>0.1</v>
      </c>
      <c r="F107" s="101">
        <f>1*(D107+E107)+0.035</f>
        <v>0.28500000000000003</v>
      </c>
      <c r="G107" s="101">
        <f>2*(C107+0.7*(E107)+0.055)</f>
        <v>1.03</v>
      </c>
      <c r="H107" s="83" t="str">
        <f>H96</f>
        <v>process 4c x 0c</v>
      </c>
      <c r="I107" s="121">
        <f>I50</f>
        <v>2000</v>
      </c>
      <c r="J107" s="122" t="b">
        <f>AND(F107&gt;=0.318,F107&lt;=0.698,G107&gt;=0.533,G107&lt;=1.025)</f>
        <v>0</v>
      </c>
      <c r="K107" s="122">
        <f>IF(J107,1,0)</f>
        <v>0</v>
      </c>
      <c r="L107" s="69">
        <f>IF(J107=TRUE,I107/K107,0)</f>
        <v>0</v>
      </c>
      <c r="M107" s="13">
        <f>IF(J107=FALSE,0,IFERROR(INDEX($AD$40:$AD$86,MATCH(L107,$AB$40:$AB$86,1)),"Not Found"))</f>
        <v>0</v>
      </c>
    </row>
    <row r="108" spans="2:17" x14ac:dyDescent="0.25">
      <c r="B108" s="82"/>
      <c r="C108" s="100">
        <f>$C$37/1000</f>
        <v>0.39</v>
      </c>
      <c r="D108" s="100">
        <f>$D$37/1000</f>
        <v>0.15</v>
      </c>
      <c r="E108" s="100">
        <f>$E$37/1000</f>
        <v>0.1</v>
      </c>
      <c r="F108" s="101">
        <f>1*(D108+E108)+0.035</f>
        <v>0.28500000000000003</v>
      </c>
      <c r="G108" s="101">
        <f>2*(C108+0.7*(E108)+0.055)</f>
        <v>1.03</v>
      </c>
      <c r="H108" s="83" t="str">
        <f>H96</f>
        <v>process 4c x 0c</v>
      </c>
      <c r="I108" s="121">
        <f>I51</f>
        <v>3000</v>
      </c>
      <c r="J108" s="122" t="b">
        <f>AND(F108&gt;=0.318,F108&lt;=0.698,G108&gt;=0.533,G108&lt;=1.025)</f>
        <v>0</v>
      </c>
      <c r="K108" s="122">
        <f>IF(J108,1,0)</f>
        <v>0</v>
      </c>
      <c r="L108" s="69">
        <f>IF(J108=TRUE,I108/K108,0)</f>
        <v>0</v>
      </c>
      <c r="M108" s="13">
        <f>IF(J108=FALSE,0,IFERROR(INDEX($AD$40:$AD$86,MATCH(L108,$AB$40:$AB$86,1)),"Not Found"))</f>
        <v>0</v>
      </c>
    </row>
    <row r="109" spans="2:17" x14ac:dyDescent="0.25">
      <c r="B109" s="82"/>
      <c r="C109" s="100">
        <f>$C$37/1000</f>
        <v>0.39</v>
      </c>
      <c r="D109" s="100">
        <f>$D$37/1000</f>
        <v>0.15</v>
      </c>
      <c r="E109" s="100">
        <f>$E$37/1000</f>
        <v>0.1</v>
      </c>
      <c r="F109" s="101">
        <f>1*(D109+E109)+0.035</f>
        <v>0.28500000000000003</v>
      </c>
      <c r="G109" s="101">
        <f>2*(C109+0.7*(E109)+0.055)</f>
        <v>1.03</v>
      </c>
      <c r="H109" s="83" t="str">
        <f>H96</f>
        <v>process 4c x 0c</v>
      </c>
      <c r="I109" s="121">
        <f>I52</f>
        <v>4000</v>
      </c>
      <c r="J109" s="122" t="b">
        <f>AND(F109&gt;=0.318,F109&lt;=0.698,G109&gt;=0.533,G109&lt;=1.025)</f>
        <v>0</v>
      </c>
      <c r="K109" s="122">
        <f>IF(J109,1,0)</f>
        <v>0</v>
      </c>
      <c r="L109" s="69">
        <f>IF(J109=TRUE,I109/K109,0)</f>
        <v>0</v>
      </c>
      <c r="M109" s="13">
        <f>IF(J109=FALSE,0,IFERROR(INDEX($AD$40:$AD$86,MATCH(L109,$AB$40:$AB$86,1)),"Not Found"))</f>
        <v>0</v>
      </c>
    </row>
    <row r="111" spans="2:17" ht="15.75" thickBot="1" x14ac:dyDescent="0.3"/>
    <row r="112" spans="2:17" ht="15.75" thickBot="1" x14ac:dyDescent="0.3">
      <c r="B112" s="82" t="s">
        <v>0</v>
      </c>
      <c r="C112" s="83">
        <f>C94</f>
        <v>390</v>
      </c>
      <c r="D112" s="115">
        <f>D94</f>
        <v>150</v>
      </c>
      <c r="E112" s="83">
        <f>E94</f>
        <v>100</v>
      </c>
      <c r="F112" s="116">
        <f>C112+0.5*E112+23</f>
        <v>463</v>
      </c>
      <c r="G112" s="117">
        <v>113</v>
      </c>
      <c r="H112" s="118">
        <v>358.77499999999998</v>
      </c>
      <c r="I112" s="82"/>
    </row>
    <row r="113" spans="2:13" ht="30" x14ac:dyDescent="0.25">
      <c r="B113" s="82"/>
      <c r="C113" s="82"/>
      <c r="D113" s="82"/>
      <c r="E113" s="82"/>
      <c r="F113" s="229" t="s">
        <v>117</v>
      </c>
      <c r="G113" s="230"/>
      <c r="H113" s="83" t="s">
        <v>151</v>
      </c>
      <c r="I113" s="86" t="s">
        <v>86</v>
      </c>
      <c r="J113" s="4" t="s">
        <v>113</v>
      </c>
      <c r="K113" s="4"/>
      <c r="L113" s="93" t="s">
        <v>152</v>
      </c>
      <c r="M113" s="4" t="s">
        <v>153</v>
      </c>
    </row>
    <row r="114" spans="2:13" x14ac:dyDescent="0.25">
      <c r="B114" s="82"/>
      <c r="C114" s="83" t="s">
        <v>5</v>
      </c>
      <c r="D114" s="83" t="s">
        <v>6</v>
      </c>
      <c r="E114" s="83" t="s">
        <v>7</v>
      </c>
      <c r="F114" s="83" t="s">
        <v>115</v>
      </c>
      <c r="G114" s="83" t="s">
        <v>110</v>
      </c>
      <c r="H114" s="147" t="str">
        <f>H96</f>
        <v>process 4c x 0c</v>
      </c>
      <c r="I114" s="83"/>
      <c r="J114" s="85"/>
      <c r="K114" s="85"/>
      <c r="L114" s="85"/>
      <c r="M114" s="4"/>
    </row>
    <row r="115" spans="2:13" x14ac:dyDescent="0.25">
      <c r="B115" s="143" t="s">
        <v>0</v>
      </c>
      <c r="C115" s="100">
        <f>$C$37/1000</f>
        <v>0.39</v>
      </c>
      <c r="D115" s="100">
        <f>$D$37/1000</f>
        <v>0.15</v>
      </c>
      <c r="E115" s="100">
        <f>$E$37/1000</f>
        <v>0.1</v>
      </c>
      <c r="F115" s="101">
        <f>D115+E115+0.035</f>
        <v>0.28500000000000003</v>
      </c>
      <c r="G115" s="101">
        <f>C115+0.7*(E115)+0.055</f>
        <v>0.51500000000000001</v>
      </c>
      <c r="H115" s="147" t="str">
        <f>H96</f>
        <v>process 4c x 0c</v>
      </c>
      <c r="I115" s="121">
        <f>I58</f>
        <v>1000</v>
      </c>
      <c r="J115" s="122" t="b">
        <f>OR(AND(F115&gt;=0.318,F115&lt;=0.698,G115&gt;=0.533,G115&lt;=1.025),AND(F115&gt;=0.533,F115&lt;=1.025,G115&gt;=0.318,G115&lt;=0.698))</f>
        <v>0</v>
      </c>
      <c r="K115" s="123">
        <f>IF(J115,0.5,0)</f>
        <v>0</v>
      </c>
      <c r="L115" s="69">
        <f>IF(J115=TRUE,I115/K115,0)</f>
        <v>0</v>
      </c>
      <c r="M115" s="13">
        <f>IF(J115=FALSE,0,IFERROR(INDEX($AD$40:$AD$86,MATCH(L115,$AB$40:$AB$86,1)),"Not Found"))</f>
        <v>0</v>
      </c>
    </row>
    <row r="116" spans="2:13" x14ac:dyDescent="0.25">
      <c r="B116" s="82"/>
      <c r="C116" s="100">
        <f>$C$37/1000</f>
        <v>0.39</v>
      </c>
      <c r="D116" s="100">
        <f>$D$37/1000</f>
        <v>0.15</v>
      </c>
      <c r="E116" s="100">
        <f>$E$37/1000</f>
        <v>0.1</v>
      </c>
      <c r="F116" s="101">
        <f>D116+E116+0.035</f>
        <v>0.28500000000000003</v>
      </c>
      <c r="G116" s="101">
        <f>C116+0.7*(E116)+0.055</f>
        <v>0.51500000000000001</v>
      </c>
      <c r="H116" s="147" t="str">
        <f>H96</f>
        <v>process 4c x 0c</v>
      </c>
      <c r="I116" s="121">
        <f>I59</f>
        <v>2000</v>
      </c>
      <c r="J116" s="122" t="b">
        <f>OR(AND(F116&gt;=0.318,F116&lt;=0.698,G116&gt;=0.533,G116&lt;=1.025),AND(F116&gt;=0.533,F116&lt;=1.025,G116&gt;=0.318,G116&lt;=0.698))</f>
        <v>0</v>
      </c>
      <c r="K116" s="123">
        <f>IF(J116,0.5,0)</f>
        <v>0</v>
      </c>
      <c r="L116" s="69">
        <f>IF(J116=TRUE,I116/K116,0)</f>
        <v>0</v>
      </c>
      <c r="M116" s="13">
        <f>IF(J116=FALSE,0,IFERROR(INDEX($AD$40:$AD$86,MATCH(L116,$AB$40:$AB$86,1)),"Not Found"))</f>
        <v>0</v>
      </c>
    </row>
    <row r="117" spans="2:13" x14ac:dyDescent="0.25">
      <c r="B117" s="82"/>
      <c r="C117" s="100">
        <f>$C$37/1000</f>
        <v>0.39</v>
      </c>
      <c r="D117" s="100">
        <f>$D$37/1000</f>
        <v>0.15</v>
      </c>
      <c r="E117" s="100">
        <f>$E$37/1000</f>
        <v>0.1</v>
      </c>
      <c r="F117" s="101">
        <f>D117+E117+0.035</f>
        <v>0.28500000000000003</v>
      </c>
      <c r="G117" s="101">
        <f>C117+0.7*(E117)+0.055</f>
        <v>0.51500000000000001</v>
      </c>
      <c r="H117" s="147" t="str">
        <f>H96</f>
        <v>process 4c x 0c</v>
      </c>
      <c r="I117" s="121">
        <f>I60</f>
        <v>3000</v>
      </c>
      <c r="J117" s="122" t="b">
        <f>OR(AND(F117&gt;=0.318,F117&lt;=0.698,G117&gt;=0.533,G117&lt;=1.025),AND(F117&gt;=0.533,F117&lt;=1.025,G117&gt;=0.318,G117&lt;=0.698))</f>
        <v>0</v>
      </c>
      <c r="K117" s="123">
        <f>IF(J117,0.5,0)</f>
        <v>0</v>
      </c>
      <c r="L117" s="69">
        <f>IF(J117=TRUE,I117/K117,0)</f>
        <v>0</v>
      </c>
      <c r="M117" s="13">
        <f>IF(J117=FALSE,0,IFERROR(INDEX($AD$40:$AD$86,MATCH(L117,$AB$40:$AB$86,1)),"Not Found"))</f>
        <v>0</v>
      </c>
    </row>
    <row r="118" spans="2:13" x14ac:dyDescent="0.25">
      <c r="B118" s="82"/>
      <c r="C118" s="100">
        <f>$C$37/1000</f>
        <v>0.39</v>
      </c>
      <c r="D118" s="100">
        <f>$D$37/1000</f>
        <v>0.15</v>
      </c>
      <c r="E118" s="100">
        <f>$E$37/1000</f>
        <v>0.1</v>
      </c>
      <c r="F118" s="101">
        <f>D118+E118+0.035</f>
        <v>0.28500000000000003</v>
      </c>
      <c r="G118" s="101">
        <f>C118+0.7*(E118)+0.055</f>
        <v>0.51500000000000001</v>
      </c>
      <c r="H118" s="147" t="str">
        <f>H96</f>
        <v>process 4c x 0c</v>
      </c>
      <c r="I118" s="121">
        <f>I61</f>
        <v>4000</v>
      </c>
      <c r="J118" s="122" t="b">
        <f>OR(AND(F118&gt;=0.318,F118&lt;=0.698,G118&gt;=0.533,G118&lt;=1.025),AND(F118&gt;=0.533,F118&lt;=1.025,G118&gt;=0.318,G118&lt;=0.698))</f>
        <v>0</v>
      </c>
      <c r="K118" s="123">
        <f>IF(J118,0.5,0)</f>
        <v>0</v>
      </c>
      <c r="L118" s="69">
        <f>IF(J118=TRUE,I118/K118,0)</f>
        <v>0</v>
      </c>
      <c r="M118" s="13">
        <f>IF(J118=FALSE,0,IFERROR(INDEX($AD$40:$AD$86,MATCH(L118,$AB$40:$AB$86,1)),"Not Found"))</f>
        <v>0</v>
      </c>
    </row>
    <row r="120" spans="2:13" ht="15.75" thickBot="1" x14ac:dyDescent="0.3"/>
    <row r="121" spans="2:13" ht="15.75" thickBot="1" x14ac:dyDescent="0.3">
      <c r="B121" s="82" t="s">
        <v>0</v>
      </c>
      <c r="C121" s="83">
        <f>C94</f>
        <v>390</v>
      </c>
      <c r="D121" s="115">
        <f>D94</f>
        <v>150</v>
      </c>
      <c r="E121" s="83">
        <f>E94</f>
        <v>100</v>
      </c>
      <c r="F121" s="116">
        <f>C121+0.5*E121+23</f>
        <v>463</v>
      </c>
      <c r="G121" s="117">
        <v>113</v>
      </c>
      <c r="H121" s="126">
        <v>358.77499999999998</v>
      </c>
      <c r="I121" s="82"/>
    </row>
    <row r="122" spans="2:13" ht="30" x14ac:dyDescent="0.25">
      <c r="B122" s="82"/>
      <c r="C122" s="82"/>
      <c r="D122" s="82"/>
      <c r="E122" s="82"/>
      <c r="F122" s="229" t="s">
        <v>119</v>
      </c>
      <c r="G122" s="231"/>
      <c r="H122" s="83" t="s">
        <v>151</v>
      </c>
      <c r="I122" s="86" t="s">
        <v>86</v>
      </c>
      <c r="J122" s="87" t="s">
        <v>87</v>
      </c>
      <c r="K122" s="4" t="s">
        <v>88</v>
      </c>
      <c r="L122" s="93" t="s">
        <v>152</v>
      </c>
      <c r="M122" s="4" t="s">
        <v>153</v>
      </c>
    </row>
    <row r="123" spans="2:13" x14ac:dyDescent="0.25">
      <c r="B123" s="82"/>
      <c r="C123" s="83" t="s">
        <v>5</v>
      </c>
      <c r="D123" s="83" t="s">
        <v>6</v>
      </c>
      <c r="E123" s="83" t="s">
        <v>7</v>
      </c>
      <c r="F123" s="83" t="s">
        <v>109</v>
      </c>
      <c r="G123" s="83" t="s">
        <v>121</v>
      </c>
      <c r="H123" s="148" t="str">
        <f>H96</f>
        <v>process 4c x 0c</v>
      </c>
      <c r="I123" s="83"/>
      <c r="J123" s="85" t="s">
        <v>111</v>
      </c>
      <c r="L123" s="85"/>
      <c r="M123" s="4"/>
    </row>
    <row r="124" spans="2:13" x14ac:dyDescent="0.25">
      <c r="B124" s="143" t="s">
        <v>0</v>
      </c>
      <c r="C124" s="100">
        <f>$C$37/1000</f>
        <v>0.39</v>
      </c>
      <c r="D124" s="100">
        <f>$D$37/1000</f>
        <v>0.15</v>
      </c>
      <c r="E124" s="100">
        <f>$E$37/1000</f>
        <v>0.1</v>
      </c>
      <c r="F124" s="101">
        <f>2*(D124+E124)+0.035</f>
        <v>0.53500000000000003</v>
      </c>
      <c r="G124" s="101">
        <f>2*(C124+0.7*(E124)+0.055)</f>
        <v>1.03</v>
      </c>
      <c r="H124" s="149" t="str">
        <f>H96</f>
        <v>process 4c x 0c</v>
      </c>
      <c r="I124" s="121">
        <f>I67</f>
        <v>1000</v>
      </c>
      <c r="J124" s="104" t="b">
        <f>OR(AND(F124&gt;=0.3,F124&lt;=0.698,G124&gt;=0.42,G124&lt;=1.025),AND(F124&gt;=0.42,F124&lt;=1.025,G124&gt;=0.3,G124&lt;=0.698))</f>
        <v>0</v>
      </c>
      <c r="K124" s="104">
        <f>IF(J124,2,0)</f>
        <v>0</v>
      </c>
      <c r="L124" s="69">
        <f>IF(J124=TRUE,I124/K124,0)</f>
        <v>0</v>
      </c>
      <c r="M124" s="13">
        <f>IF(J124=FALSE,0,IFERROR(INDEX($AD$40:$AD$86,MATCH(L124,$AB$40:$AB$86,1)),"Not Found"))</f>
        <v>0</v>
      </c>
    </row>
    <row r="125" spans="2:13" x14ac:dyDescent="0.25">
      <c r="B125" s="82"/>
      <c r="C125" s="100">
        <f>$C$37/1000</f>
        <v>0.39</v>
      </c>
      <c r="D125" s="100">
        <f>$D$37/1000</f>
        <v>0.15</v>
      </c>
      <c r="E125" s="100">
        <f>$E$37/1000</f>
        <v>0.1</v>
      </c>
      <c r="F125" s="101">
        <f>2*(D125+E125)+0.035</f>
        <v>0.53500000000000003</v>
      </c>
      <c r="G125" s="101">
        <f>2*(C125+0.7*(E125)+0.055)</f>
        <v>1.03</v>
      </c>
      <c r="H125" s="149" t="str">
        <f>H96</f>
        <v>process 4c x 0c</v>
      </c>
      <c r="I125" s="121">
        <f>I68</f>
        <v>2000</v>
      </c>
      <c r="J125" s="104" t="b">
        <f>OR(AND(F125&gt;=0.3,F125&lt;=0.698,G125&gt;=0.42,G125&lt;=1.025),AND(F125&gt;=0.42,F125&lt;=1.025,G125&gt;=0.3,G125&lt;=0.698))</f>
        <v>0</v>
      </c>
      <c r="K125" s="104">
        <f>IF(J125,2,0)</f>
        <v>0</v>
      </c>
      <c r="L125" s="69">
        <f>IF(J125=TRUE,I125/K125,0)</f>
        <v>0</v>
      </c>
      <c r="M125" s="13">
        <f>IF(J125=FALSE,0,IFERROR(INDEX($AD$40:$AD$86,MATCH(L125,$AB$40:$AB$86,1)),"Not Found"))</f>
        <v>0</v>
      </c>
    </row>
    <row r="126" spans="2:13" x14ac:dyDescent="0.25">
      <c r="B126" s="82"/>
      <c r="C126" s="100">
        <f>$C$37/1000</f>
        <v>0.39</v>
      </c>
      <c r="D126" s="100">
        <f>$D$37/1000</f>
        <v>0.15</v>
      </c>
      <c r="E126" s="100">
        <f>$E$37/1000</f>
        <v>0.1</v>
      </c>
      <c r="F126" s="101">
        <f>2*(D126+E126)+0.035</f>
        <v>0.53500000000000003</v>
      </c>
      <c r="G126" s="101">
        <f>2*(C126+0.7*(E126)+0.055)</f>
        <v>1.03</v>
      </c>
      <c r="H126" s="149" t="str">
        <f>H96</f>
        <v>process 4c x 0c</v>
      </c>
      <c r="I126" s="121">
        <f>I69</f>
        <v>3000</v>
      </c>
      <c r="J126" s="104" t="b">
        <f>OR(AND(F126&gt;=0.3,F126&lt;=0.698,G126&gt;=0.42,G126&lt;=1.025),AND(F126&gt;=0.42,F126&lt;=1.025,G126&gt;=0.3,G126&lt;=0.698))</f>
        <v>0</v>
      </c>
      <c r="K126" s="104">
        <f>IF(J126,2,0)</f>
        <v>0</v>
      </c>
      <c r="L126" s="69">
        <f>IF(J126=TRUE,I126/K126,0)</f>
        <v>0</v>
      </c>
      <c r="M126" s="13">
        <f>IF(J126=FALSE,0,IFERROR(INDEX($AD$40:$AD$86,MATCH(L126,$AB$40:$AB$86,1)),"Not Found"))</f>
        <v>0</v>
      </c>
    </row>
    <row r="127" spans="2:13" x14ac:dyDescent="0.25">
      <c r="B127" s="82"/>
      <c r="C127" s="100">
        <f>$C$37/1000</f>
        <v>0.39</v>
      </c>
      <c r="D127" s="100">
        <f>$D$37/1000</f>
        <v>0.15</v>
      </c>
      <c r="E127" s="100">
        <f>$E$37/1000</f>
        <v>0.1</v>
      </c>
      <c r="F127" s="101">
        <f>2*(D127+E127)+0.035</f>
        <v>0.53500000000000003</v>
      </c>
      <c r="G127" s="101">
        <f>2*(C127+0.7*(E127)+0.055)</f>
        <v>1.03</v>
      </c>
      <c r="H127" s="149" t="str">
        <f>H96</f>
        <v>process 4c x 0c</v>
      </c>
      <c r="I127" s="121">
        <f>I70</f>
        <v>4000</v>
      </c>
      <c r="J127" s="104" t="b">
        <f>OR(AND(F127&gt;=0.3,F127&lt;=0.698,G127&gt;=0.42,G127&lt;=1.025),AND(F127&gt;=0.42,F127&lt;=1.025,G127&gt;=0.3,G127&lt;=0.698))</f>
        <v>0</v>
      </c>
      <c r="K127" s="104">
        <f>IF(J127,2,0)</f>
        <v>0</v>
      </c>
      <c r="L127" s="69">
        <f>IF(J127=TRUE,I127/K127,0)</f>
        <v>0</v>
      </c>
      <c r="M127" s="13">
        <f>IF(J127=FALSE,0,IFERROR(INDEX($AD$40:$AD$86,MATCH(L127,$AB$40:$AB$86,1)),"Not Found"))</f>
        <v>0</v>
      </c>
    </row>
    <row r="130" spans="1:22" s="80" customFormat="1" x14ac:dyDescent="0.25">
      <c r="A130" s="226" t="s">
        <v>155</v>
      </c>
      <c r="B130" s="226"/>
      <c r="C130" s="226"/>
      <c r="O130" s="226" t="s">
        <v>155</v>
      </c>
      <c r="P130" s="226"/>
      <c r="Q130" s="226"/>
    </row>
    <row r="132" spans="1:22" ht="18.75" x14ac:dyDescent="0.3">
      <c r="B132" s="81" t="s">
        <v>156</v>
      </c>
      <c r="C132" s="81"/>
      <c r="D132" s="81"/>
      <c r="E132" s="81"/>
      <c r="F132" s="81"/>
      <c r="G132" s="81"/>
      <c r="H132" s="81"/>
    </row>
    <row r="133" spans="1:22" ht="15.75" thickBot="1" x14ac:dyDescent="0.3"/>
    <row r="134" spans="1:22" ht="15.75" thickBot="1" x14ac:dyDescent="0.3">
      <c r="B134" s="82" t="s">
        <v>0</v>
      </c>
      <c r="C134" s="83">
        <f>C37</f>
        <v>390</v>
      </c>
      <c r="D134" s="115">
        <f>D37</f>
        <v>150</v>
      </c>
      <c r="E134" s="83">
        <f>E37</f>
        <v>100</v>
      </c>
      <c r="F134" s="116">
        <f>C134+0.5*E134+23</f>
        <v>463</v>
      </c>
      <c r="G134" s="117">
        <v>113</v>
      </c>
      <c r="H134" s="126">
        <v>358.77499999999998</v>
      </c>
      <c r="I134" s="82"/>
      <c r="Q134" s="141" t="s">
        <v>157</v>
      </c>
    </row>
    <row r="135" spans="1:22" ht="30" x14ac:dyDescent="0.25">
      <c r="B135" s="82"/>
      <c r="C135" s="82"/>
      <c r="D135" s="82"/>
      <c r="E135" s="82"/>
      <c r="F135" s="227" t="s">
        <v>85</v>
      </c>
      <c r="G135" s="228"/>
      <c r="H135" s="83" t="s">
        <v>151</v>
      </c>
      <c r="I135" s="86" t="s">
        <v>86</v>
      </c>
      <c r="J135" s="87" t="s">
        <v>87</v>
      </c>
      <c r="K135" s="4" t="s">
        <v>88</v>
      </c>
      <c r="L135" s="93" t="s">
        <v>152</v>
      </c>
      <c r="M135" s="4" t="s">
        <v>158</v>
      </c>
    </row>
    <row r="136" spans="1:22" x14ac:dyDescent="0.25">
      <c r="B136" s="82"/>
      <c r="C136" s="83" t="s">
        <v>5</v>
      </c>
      <c r="D136" s="83" t="s">
        <v>6</v>
      </c>
      <c r="E136" s="83" t="s">
        <v>7</v>
      </c>
      <c r="F136" s="83" t="s">
        <v>109</v>
      </c>
      <c r="G136" s="83" t="s">
        <v>110</v>
      </c>
      <c r="H136" s="146" t="str">
        <f>H96</f>
        <v>process 4c x 0c</v>
      </c>
      <c r="I136" s="83"/>
      <c r="J136" s="85" t="s">
        <v>111</v>
      </c>
      <c r="L136" s="85"/>
      <c r="M136" s="4"/>
      <c r="Q136" s="59">
        <f>SUM(M137,M146,M155,M164)/MAX(1,SUM((M137&gt;0)+(M146&gt;0)+(M155&gt;0)+(M164&gt;0)))</f>
        <v>140</v>
      </c>
    </row>
    <row r="137" spans="1:22" x14ac:dyDescent="0.25">
      <c r="B137" s="143" t="s">
        <v>0</v>
      </c>
      <c r="C137" s="100">
        <f>$C$37/1000</f>
        <v>0.39</v>
      </c>
      <c r="D137" s="100">
        <f>$D$37/1000</f>
        <v>0.15</v>
      </c>
      <c r="E137" s="100">
        <f>$E$37/1000</f>
        <v>0.1</v>
      </c>
      <c r="F137" s="101">
        <f>2*(D137+E137)+0.035</f>
        <v>0.53500000000000003</v>
      </c>
      <c r="G137" s="101">
        <f>C137+0.7*(E137)+0.055</f>
        <v>0.51500000000000001</v>
      </c>
      <c r="H137" s="146" t="str">
        <f>H96</f>
        <v>process 4c x 0c</v>
      </c>
      <c r="I137" s="121">
        <f>I40</f>
        <v>1000</v>
      </c>
      <c r="J137" s="104" t="b">
        <f>AND(F137&gt;=0.533,F137&lt;=1.025,G137&gt;=0.318,G137&lt;=0.698)</f>
        <v>1</v>
      </c>
      <c r="K137" s="104">
        <f>IF(J137,1,0)</f>
        <v>1</v>
      </c>
      <c r="L137" s="69">
        <f>IF(J137=TRUE,I137/K137,0)</f>
        <v>1000</v>
      </c>
      <c r="M137" s="150">
        <f>VLOOKUP(H$136,Q$144:R$156,2,FALSE)</f>
        <v>140</v>
      </c>
      <c r="Q137" s="59">
        <f>SUM(M137,M146,M155,M164)/MAX(1,SUM((M137&gt;0)+(M146&gt;0)+(M155&gt;0)+(M164&gt;0)))</f>
        <v>140</v>
      </c>
    </row>
    <row r="138" spans="1:22" x14ac:dyDescent="0.25">
      <c r="B138" s="82"/>
      <c r="C138" s="100">
        <f>$C$37/1000</f>
        <v>0.39</v>
      </c>
      <c r="D138" s="100">
        <f>$D$37/1000</f>
        <v>0.15</v>
      </c>
      <c r="E138" s="100">
        <f>$E$37/1000</f>
        <v>0.1</v>
      </c>
      <c r="F138" s="101">
        <f>2*(D138+E138)+0.035</f>
        <v>0.53500000000000003</v>
      </c>
      <c r="G138" s="101">
        <f>C138+0.7*(E138)+0.055</f>
        <v>0.51500000000000001</v>
      </c>
      <c r="H138" s="146" t="str">
        <f>H96</f>
        <v>process 4c x 0c</v>
      </c>
      <c r="I138" s="121">
        <f>I41</f>
        <v>2000</v>
      </c>
      <c r="J138" s="104" t="b">
        <f>AND(F138&gt;=0.533,F138&lt;=1.025,G138&gt;=0.318,G138&lt;=0.698)</f>
        <v>1</v>
      </c>
      <c r="K138" s="104">
        <f>IF(J138,1,0)</f>
        <v>1</v>
      </c>
      <c r="L138" s="69">
        <f>IF(J138=TRUE,I138/K138,0)</f>
        <v>2000</v>
      </c>
      <c r="M138" s="150">
        <f>VLOOKUP(H$136,Q$144:R$156,2,FALSE)</f>
        <v>140</v>
      </c>
      <c r="Q138" s="59">
        <f>SUM(M138,M147,M156,M165)/MAX(1,SUM((M138&gt;0)+(M147&gt;0)+(M156&gt;0)+(M165&gt;0)))</f>
        <v>140</v>
      </c>
    </row>
    <row r="139" spans="1:22" x14ac:dyDescent="0.25">
      <c r="B139" s="82"/>
      <c r="C139" s="100">
        <f>$C$37/1000</f>
        <v>0.39</v>
      </c>
      <c r="D139" s="100">
        <f>$D$37/1000</f>
        <v>0.15</v>
      </c>
      <c r="E139" s="100">
        <f>$E$37/1000</f>
        <v>0.1</v>
      </c>
      <c r="F139" s="101">
        <f>2*(D139+E139)+0.035</f>
        <v>0.53500000000000003</v>
      </c>
      <c r="G139" s="101">
        <f>C139+0.7*(E139)+0.055</f>
        <v>0.51500000000000001</v>
      </c>
      <c r="H139" s="146" t="str">
        <f>H96</f>
        <v>process 4c x 0c</v>
      </c>
      <c r="I139" s="121">
        <f>I42</f>
        <v>3000</v>
      </c>
      <c r="J139" s="104" t="b">
        <f>AND(F139&gt;=0.533,F139&lt;=1.025,G139&gt;=0.318,G139&lt;=0.698)</f>
        <v>1</v>
      </c>
      <c r="K139" s="104">
        <f>IF(J139,1,0)</f>
        <v>1</v>
      </c>
      <c r="L139" s="69">
        <f>IF(J139=TRUE,I139/K139,0)</f>
        <v>3000</v>
      </c>
      <c r="M139" s="150">
        <f>VLOOKUP(H$136,Q$144:R$156,2,FALSE)</f>
        <v>140</v>
      </c>
      <c r="Q139" s="59">
        <f>SUM(M139,M148,M157,M166)/MAX(1,SUM((M139&gt;0)+(M148&gt;0)+(M157&gt;0)+(M166&gt;0)))</f>
        <v>140</v>
      </c>
    </row>
    <row r="140" spans="1:22" x14ac:dyDescent="0.25">
      <c r="B140" s="82"/>
      <c r="C140" s="100">
        <f>$C$37/1000</f>
        <v>0.39</v>
      </c>
      <c r="D140" s="100">
        <f>$D$37/1000</f>
        <v>0.15</v>
      </c>
      <c r="E140" s="100">
        <f>$E$37/1000</f>
        <v>0.1</v>
      </c>
      <c r="F140" s="101">
        <f>2*(D140+E140)+0.035</f>
        <v>0.53500000000000003</v>
      </c>
      <c r="G140" s="101">
        <f>C140+0.7*(E140)+0.055</f>
        <v>0.51500000000000001</v>
      </c>
      <c r="H140" s="146" t="str">
        <f>H96</f>
        <v>process 4c x 0c</v>
      </c>
      <c r="I140" s="121">
        <f>I43</f>
        <v>4000</v>
      </c>
      <c r="J140" s="104" t="b">
        <f>AND(F140&gt;=0.533,F140&lt;=1.025,G140&gt;=0.318,G140&lt;=0.698)</f>
        <v>1</v>
      </c>
      <c r="K140" s="104">
        <f>IF(J140,1,0)</f>
        <v>1</v>
      </c>
      <c r="L140" s="69">
        <f>IF(J140=TRUE,I140/K140,0)</f>
        <v>4000</v>
      </c>
      <c r="M140" s="150">
        <f>VLOOKUP(H$136,Q$144:R$156,2,FALSE)</f>
        <v>140</v>
      </c>
    </row>
    <row r="141" spans="1:22" ht="14.45" customHeight="1" x14ac:dyDescent="0.25">
      <c r="R141" s="236" t="s">
        <v>159</v>
      </c>
      <c r="S141" s="131"/>
      <c r="T141" s="131"/>
      <c r="U141" s="131"/>
      <c r="V141" s="131"/>
    </row>
    <row r="142" spans="1:22" ht="15" customHeight="1" thickBot="1" x14ac:dyDescent="0.3">
      <c r="R142" s="237"/>
      <c r="S142" s="136"/>
      <c r="T142" s="136"/>
      <c r="U142" s="136"/>
      <c r="V142" s="136"/>
    </row>
    <row r="143" spans="1:22" ht="15.75" thickBot="1" x14ac:dyDescent="0.3">
      <c r="B143" s="82" t="s">
        <v>0</v>
      </c>
      <c r="C143" s="83">
        <f>C134</f>
        <v>390</v>
      </c>
      <c r="D143" s="115">
        <f>D134</f>
        <v>150</v>
      </c>
      <c r="E143" s="83">
        <f>E134</f>
        <v>100</v>
      </c>
      <c r="F143" s="116">
        <f>C143+0.5*E143+23</f>
        <v>463</v>
      </c>
      <c r="G143" s="117">
        <v>113</v>
      </c>
      <c r="H143" s="118">
        <v>358.77499999999998</v>
      </c>
      <c r="I143" s="82"/>
      <c r="Q143" t="s">
        <v>151</v>
      </c>
      <c r="R143" s="238"/>
      <c r="S143" s="6"/>
      <c r="T143" s="6"/>
      <c r="U143" s="6"/>
      <c r="V143" s="6"/>
    </row>
    <row r="144" spans="1:22" ht="30" x14ac:dyDescent="0.25">
      <c r="B144" s="82"/>
      <c r="C144" s="82"/>
      <c r="D144" s="82"/>
      <c r="E144" s="82"/>
      <c r="F144" s="229" t="s">
        <v>112</v>
      </c>
      <c r="G144" s="230"/>
      <c r="H144" s="83" t="s">
        <v>151</v>
      </c>
      <c r="I144" s="119" t="s">
        <v>86</v>
      </c>
      <c r="J144" s="4" t="s">
        <v>113</v>
      </c>
      <c r="K144" s="4"/>
      <c r="L144" s="93" t="s">
        <v>152</v>
      </c>
      <c r="M144" s="4" t="s">
        <v>158</v>
      </c>
      <c r="Q144" s="4" t="s">
        <v>126</v>
      </c>
      <c r="R144" s="4">
        <v>0</v>
      </c>
      <c r="S144" s="4"/>
      <c r="T144" s="6"/>
      <c r="U144" s="4"/>
      <c r="V144" s="4"/>
    </row>
    <row r="145" spans="2:22" x14ac:dyDescent="0.25">
      <c r="B145" s="82"/>
      <c r="C145" s="83" t="s">
        <v>5</v>
      </c>
      <c r="D145" s="83" t="s">
        <v>6</v>
      </c>
      <c r="E145" s="83" t="s">
        <v>7</v>
      </c>
      <c r="F145" s="83" t="s">
        <v>115</v>
      </c>
      <c r="G145" s="83" t="s">
        <v>116</v>
      </c>
      <c r="H145" s="83" t="str">
        <f>H96</f>
        <v>process 4c x 0c</v>
      </c>
      <c r="I145" s="83"/>
      <c r="J145" s="85"/>
      <c r="K145" s="85"/>
      <c r="L145" s="85"/>
      <c r="M145" s="4"/>
      <c r="Q145" s="4" t="s">
        <v>30</v>
      </c>
      <c r="R145" s="4">
        <v>140</v>
      </c>
      <c r="S145" s="4"/>
      <c r="T145" s="4"/>
      <c r="U145" s="4"/>
      <c r="V145" s="4"/>
    </row>
    <row r="146" spans="2:22" x14ac:dyDescent="0.25">
      <c r="B146" s="143" t="s">
        <v>0</v>
      </c>
      <c r="C146" s="100">
        <f>$C$37/1000</f>
        <v>0.39</v>
      </c>
      <c r="D146" s="100">
        <f>$D$37/1000</f>
        <v>0.15</v>
      </c>
      <c r="E146" s="100">
        <f>$E$37/1000</f>
        <v>0.1</v>
      </c>
      <c r="F146" s="101">
        <f>1*(D146+E146)+0.035</f>
        <v>0.28500000000000003</v>
      </c>
      <c r="G146" s="101">
        <f>2*(C146+0.7*(E146)+0.055)</f>
        <v>1.03</v>
      </c>
      <c r="H146" s="83" t="str">
        <f>H96</f>
        <v>process 4c x 0c</v>
      </c>
      <c r="I146" s="121">
        <f>I49</f>
        <v>1000</v>
      </c>
      <c r="J146" s="122" t="b">
        <f>AND(F146&gt;=0.318,F146&lt;=0.698,G146&gt;=0.533,G146&lt;=1.025)</f>
        <v>0</v>
      </c>
      <c r="K146" s="122">
        <f>IF(J146,1,0)</f>
        <v>0</v>
      </c>
      <c r="L146" s="69">
        <f>IF(J146=TRUE,I146/K146,0)</f>
        <v>0</v>
      </c>
      <c r="M146" s="150">
        <f>VLOOKUP(H$136,Q$144:R$156,2,FALSE)</f>
        <v>140</v>
      </c>
      <c r="Q146" s="4" t="s">
        <v>129</v>
      </c>
      <c r="R146" s="4">
        <v>40</v>
      </c>
      <c r="S146" s="4"/>
      <c r="T146" s="4"/>
      <c r="U146" s="4"/>
      <c r="V146" s="4"/>
    </row>
    <row r="147" spans="2:22" x14ac:dyDescent="0.25">
      <c r="B147" s="82"/>
      <c r="C147" s="100">
        <f>$C$37/1000</f>
        <v>0.39</v>
      </c>
      <c r="D147" s="100">
        <f>$D$37/1000</f>
        <v>0.15</v>
      </c>
      <c r="E147" s="100">
        <f>$E$37/1000</f>
        <v>0.1</v>
      </c>
      <c r="F147" s="101">
        <f>1*(D147+E147)+0.035</f>
        <v>0.28500000000000003</v>
      </c>
      <c r="G147" s="101">
        <f>2*(C147+0.7*(E147)+0.055)</f>
        <v>1.03</v>
      </c>
      <c r="H147" s="83" t="str">
        <f>H96</f>
        <v>process 4c x 0c</v>
      </c>
      <c r="I147" s="121">
        <f>I50</f>
        <v>2000</v>
      </c>
      <c r="J147" s="122" t="b">
        <f>AND(F147&gt;=0.318,F147&lt;=0.698,G147&gt;=0.533,G147&lt;=1.025)</f>
        <v>0</v>
      </c>
      <c r="K147" s="122">
        <f>IF(J147,1,0)</f>
        <v>0</v>
      </c>
      <c r="L147" s="69">
        <f>IF(J147=TRUE,I147/K147,0)</f>
        <v>0</v>
      </c>
      <c r="M147" s="150">
        <f>VLOOKUP(H$136,Q$144:R$156,2,FALSE)</f>
        <v>140</v>
      </c>
      <c r="Q147" s="4" t="s">
        <v>131</v>
      </c>
      <c r="R147" s="4">
        <v>40</v>
      </c>
      <c r="S147" s="4"/>
      <c r="T147" s="4"/>
      <c r="U147" s="4"/>
      <c r="V147" s="4"/>
    </row>
    <row r="148" spans="2:22" x14ac:dyDescent="0.25">
      <c r="B148" s="82"/>
      <c r="C148" s="100">
        <f>$C$37/1000</f>
        <v>0.39</v>
      </c>
      <c r="D148" s="100">
        <f>$D$37/1000</f>
        <v>0.15</v>
      </c>
      <c r="E148" s="100">
        <f>$E$37/1000</f>
        <v>0.1</v>
      </c>
      <c r="F148" s="101">
        <f>1*(D148+E148)+0.035</f>
        <v>0.28500000000000003</v>
      </c>
      <c r="G148" s="101">
        <f>2*(C148+0.7*(E148)+0.055)</f>
        <v>1.03</v>
      </c>
      <c r="H148" s="83" t="str">
        <f>H96</f>
        <v>process 4c x 0c</v>
      </c>
      <c r="I148" s="121">
        <f>I51</f>
        <v>3000</v>
      </c>
      <c r="J148" s="122" t="b">
        <f>AND(F148&gt;=0.318,F148&lt;=0.698,G148&gt;=0.533,G148&lt;=1.025)</f>
        <v>0</v>
      </c>
      <c r="K148" s="122">
        <f>IF(J148,1,0)</f>
        <v>0</v>
      </c>
      <c r="L148" s="69">
        <f>IF(J148=TRUE,I148/K148,0)</f>
        <v>0</v>
      </c>
      <c r="M148" s="150">
        <f>VLOOKUP(H$136,Q$144:R$156,2,FALSE)</f>
        <v>140</v>
      </c>
      <c r="Q148" s="4" t="s">
        <v>133</v>
      </c>
      <c r="R148" s="4">
        <v>40</v>
      </c>
      <c r="S148" s="4"/>
      <c r="T148" s="4"/>
      <c r="U148" s="4"/>
      <c r="V148" s="4"/>
    </row>
    <row r="149" spans="2:22" x14ac:dyDescent="0.25">
      <c r="B149" s="82"/>
      <c r="C149" s="100">
        <f>$C$37/1000</f>
        <v>0.39</v>
      </c>
      <c r="D149" s="100">
        <f>$D$37/1000</f>
        <v>0.15</v>
      </c>
      <c r="E149" s="100">
        <f>$E$37/1000</f>
        <v>0.1</v>
      </c>
      <c r="F149" s="101">
        <f>1*(D149+E149)+0.035</f>
        <v>0.28500000000000003</v>
      </c>
      <c r="G149" s="101">
        <f>2*(C149+0.7*(E149)+0.055)</f>
        <v>1.03</v>
      </c>
      <c r="H149" s="83" t="str">
        <f>H96</f>
        <v>process 4c x 0c</v>
      </c>
      <c r="I149" s="121">
        <f>I52</f>
        <v>4000</v>
      </c>
      <c r="J149" s="122" t="b">
        <f>AND(F149&gt;=0.318,F149&lt;=0.698,G149&gt;=0.533,G149&lt;=1.025)</f>
        <v>0</v>
      </c>
      <c r="K149" s="122">
        <f>IF(J149,1,0)</f>
        <v>0</v>
      </c>
      <c r="L149" s="69">
        <f>IF(J149=TRUE,I149/K149,0)</f>
        <v>0</v>
      </c>
      <c r="M149" s="150">
        <f>VLOOKUP(H$136,Q$144:R$156,2,FALSE)</f>
        <v>140</v>
      </c>
      <c r="Q149" s="4" t="s">
        <v>134</v>
      </c>
      <c r="R149" s="4">
        <v>80</v>
      </c>
      <c r="S149" s="4"/>
      <c r="T149" s="4"/>
      <c r="U149" s="4"/>
      <c r="V149" s="4"/>
    </row>
    <row r="150" spans="2:22" x14ac:dyDescent="0.25">
      <c r="Q150" s="4" t="s">
        <v>136</v>
      </c>
      <c r="R150" s="4">
        <v>80</v>
      </c>
      <c r="S150" s="4"/>
      <c r="T150" s="4"/>
      <c r="U150" s="4"/>
      <c r="V150" s="4"/>
    </row>
    <row r="151" spans="2:22" ht="15.75" thickBot="1" x14ac:dyDescent="0.3">
      <c r="Q151" s="4" t="s">
        <v>138</v>
      </c>
      <c r="R151" s="4">
        <v>80</v>
      </c>
      <c r="S151" s="4"/>
      <c r="T151" s="4"/>
      <c r="U151" s="4"/>
      <c r="V151" s="4"/>
    </row>
    <row r="152" spans="2:22" ht="15.75" thickBot="1" x14ac:dyDescent="0.3">
      <c r="B152" s="82" t="s">
        <v>0</v>
      </c>
      <c r="C152" s="83">
        <f>C134</f>
        <v>390</v>
      </c>
      <c r="D152" s="115">
        <f>D134</f>
        <v>150</v>
      </c>
      <c r="E152" s="83">
        <f>E134</f>
        <v>100</v>
      </c>
      <c r="F152" s="116">
        <f>C152+0.5*E152+23</f>
        <v>463</v>
      </c>
      <c r="G152" s="117">
        <v>113</v>
      </c>
      <c r="H152" s="118">
        <v>358.77499999999998</v>
      </c>
      <c r="I152" s="82"/>
      <c r="Q152" s="4" t="s">
        <v>140</v>
      </c>
      <c r="R152" s="4">
        <v>120</v>
      </c>
      <c r="S152" s="4"/>
      <c r="T152" s="4"/>
      <c r="U152" s="4"/>
      <c r="V152" s="4"/>
    </row>
    <row r="153" spans="2:22" ht="30" x14ac:dyDescent="0.25">
      <c r="B153" s="82"/>
      <c r="C153" s="82"/>
      <c r="D153" s="82"/>
      <c r="E153" s="82"/>
      <c r="F153" s="229" t="s">
        <v>117</v>
      </c>
      <c r="G153" s="230"/>
      <c r="H153" s="83" t="s">
        <v>151</v>
      </c>
      <c r="I153" s="86" t="s">
        <v>86</v>
      </c>
      <c r="J153" s="4" t="s">
        <v>113</v>
      </c>
      <c r="K153" s="4"/>
      <c r="L153" s="93" t="s">
        <v>152</v>
      </c>
      <c r="M153" s="4" t="s">
        <v>158</v>
      </c>
      <c r="Q153" s="4" t="s">
        <v>142</v>
      </c>
      <c r="R153" s="4">
        <v>120</v>
      </c>
      <c r="S153" s="4"/>
      <c r="T153" s="4"/>
      <c r="U153" s="4"/>
      <c r="V153" s="4"/>
    </row>
    <row r="154" spans="2:22" x14ac:dyDescent="0.25">
      <c r="B154" s="82"/>
      <c r="C154" s="83" t="s">
        <v>5</v>
      </c>
      <c r="D154" s="83" t="s">
        <v>6</v>
      </c>
      <c r="E154" s="83" t="s">
        <v>7</v>
      </c>
      <c r="F154" s="83" t="s">
        <v>115</v>
      </c>
      <c r="G154" s="83" t="s">
        <v>110</v>
      </c>
      <c r="H154" s="83" t="str">
        <f>H96</f>
        <v>process 4c x 0c</v>
      </c>
      <c r="I154" s="83"/>
      <c r="J154" s="85"/>
      <c r="K154" s="85"/>
      <c r="L154" s="85"/>
      <c r="M154" s="4"/>
      <c r="Q154" s="4" t="s">
        <v>144</v>
      </c>
      <c r="R154" s="4">
        <v>120</v>
      </c>
      <c r="S154" s="4"/>
      <c r="T154" s="4"/>
      <c r="U154" s="4"/>
      <c r="V154" s="4"/>
    </row>
    <row r="155" spans="2:22" x14ac:dyDescent="0.25">
      <c r="B155" s="143" t="s">
        <v>0</v>
      </c>
      <c r="C155" s="100">
        <f>$C$37/1000</f>
        <v>0.39</v>
      </c>
      <c r="D155" s="100">
        <f>$D$37/1000</f>
        <v>0.15</v>
      </c>
      <c r="E155" s="100">
        <f>$E$37/1000</f>
        <v>0.1</v>
      </c>
      <c r="F155" s="101">
        <f>D155+E155+0.035</f>
        <v>0.28500000000000003</v>
      </c>
      <c r="G155" s="101">
        <f>C155+0.7*(E155)+0.055</f>
        <v>0.51500000000000001</v>
      </c>
      <c r="H155" s="83" t="str">
        <f>H96</f>
        <v>process 4c x 0c</v>
      </c>
      <c r="I155" s="121">
        <f>I58</f>
        <v>1000</v>
      </c>
      <c r="J155" s="122" t="b">
        <f>OR(AND(F155&gt;=0.318,F155&lt;=0.698,G155&gt;=0.533,G155&lt;=1.025),AND(F155&gt;=0.533,F155&lt;=1.025,G155&gt;=0.318,G155&lt;=0.698))</f>
        <v>0</v>
      </c>
      <c r="K155" s="123">
        <f>IF(J155,0.5,0)</f>
        <v>0</v>
      </c>
      <c r="L155" s="69">
        <f>IF(J155=TRUE,I155/K155,0)</f>
        <v>0</v>
      </c>
      <c r="M155" s="150">
        <f>VLOOKUP(H$136,Q$144:R$156,2,FALSE)</f>
        <v>140</v>
      </c>
      <c r="Q155" s="151" t="s">
        <v>146</v>
      </c>
      <c r="R155" s="4">
        <v>180</v>
      </c>
      <c r="S155" s="4"/>
      <c r="T155" s="4"/>
      <c r="U155" s="4"/>
      <c r="V155" s="4"/>
    </row>
    <row r="156" spans="2:22" x14ac:dyDescent="0.25">
      <c r="B156" s="82"/>
      <c r="C156" s="100">
        <f>$C$37/1000</f>
        <v>0.39</v>
      </c>
      <c r="D156" s="100">
        <f>$D$37/1000</f>
        <v>0.15</v>
      </c>
      <c r="E156" s="100">
        <f>$E$37/1000</f>
        <v>0.1</v>
      </c>
      <c r="F156" s="101">
        <f>D156+E156+0.035</f>
        <v>0.28500000000000003</v>
      </c>
      <c r="G156" s="101">
        <f>C156+0.7*(E156)+0.055</f>
        <v>0.51500000000000001</v>
      </c>
      <c r="H156" s="83" t="str">
        <f>H96</f>
        <v>process 4c x 0c</v>
      </c>
      <c r="I156" s="121">
        <f>I59</f>
        <v>2000</v>
      </c>
      <c r="J156" s="122" t="b">
        <f>OR(AND(F156&gt;=0.318,F156&lt;=0.698,G156&gt;=0.533,G156&lt;=1.025),AND(F156&gt;=0.533,F156&lt;=1.025,G156&gt;=0.318,G156&lt;=0.698))</f>
        <v>0</v>
      </c>
      <c r="K156" s="123">
        <f>IF(J156,0.5,0)</f>
        <v>0</v>
      </c>
      <c r="L156" s="69">
        <f>IF(J156=TRUE,I156/K156,0)</f>
        <v>0</v>
      </c>
      <c r="M156" s="150">
        <f>VLOOKUP(H$136,Q$144:R$156,2,FALSE)</f>
        <v>140</v>
      </c>
      <c r="Q156" s="151" t="s">
        <v>148</v>
      </c>
      <c r="R156" s="4">
        <v>220</v>
      </c>
      <c r="S156" s="4"/>
      <c r="T156" s="4"/>
      <c r="U156" s="4"/>
      <c r="V156" s="4"/>
    </row>
    <row r="157" spans="2:22" x14ac:dyDescent="0.25">
      <c r="B157" s="82"/>
      <c r="C157" s="100">
        <f>$C$37/1000</f>
        <v>0.39</v>
      </c>
      <c r="D157" s="100">
        <f>$D$37/1000</f>
        <v>0.15</v>
      </c>
      <c r="E157" s="100">
        <f>$E$37/1000</f>
        <v>0.1</v>
      </c>
      <c r="F157" s="101">
        <f>D157+E157+0.035</f>
        <v>0.28500000000000003</v>
      </c>
      <c r="G157" s="101">
        <f>C157+0.7*(E157)+0.055</f>
        <v>0.51500000000000001</v>
      </c>
      <c r="H157" s="83" t="str">
        <f>H96</f>
        <v>process 4c x 0c</v>
      </c>
      <c r="I157" s="121">
        <f>I60</f>
        <v>3000</v>
      </c>
      <c r="J157" s="122" t="b">
        <f>OR(AND(F157&gt;=0.318,F157&lt;=0.698,G157&gt;=0.533,G157&lt;=1.025),AND(F157&gt;=0.533,F157&lt;=1.025,G157&gt;=0.318,G157&lt;=0.698))</f>
        <v>0</v>
      </c>
      <c r="K157" s="123">
        <f>IF(J157,0.5,0)</f>
        <v>0</v>
      </c>
      <c r="L157" s="69">
        <f>IF(J157=TRUE,I157/K157,0)</f>
        <v>0</v>
      </c>
      <c r="M157" s="150">
        <f>VLOOKUP(H$136,Q$144:R$156,2,FALSE)</f>
        <v>140</v>
      </c>
    </row>
    <row r="158" spans="2:22" x14ac:dyDescent="0.25">
      <c r="B158" s="82"/>
      <c r="C158" s="100">
        <f>$C$37/1000</f>
        <v>0.39</v>
      </c>
      <c r="D158" s="100">
        <f>$D$37/1000</f>
        <v>0.15</v>
      </c>
      <c r="E158" s="100">
        <f>$E$37/1000</f>
        <v>0.1</v>
      </c>
      <c r="F158" s="101">
        <f>D158+E158+0.035</f>
        <v>0.28500000000000003</v>
      </c>
      <c r="G158" s="101">
        <f>C158+0.7*(E158)+0.055</f>
        <v>0.51500000000000001</v>
      </c>
      <c r="H158" s="83" t="str">
        <f>H96</f>
        <v>process 4c x 0c</v>
      </c>
      <c r="I158" s="121">
        <f>I61</f>
        <v>4000</v>
      </c>
      <c r="J158" s="122" t="b">
        <f>OR(AND(F158&gt;=0.318,F158&lt;=0.698,G158&gt;=0.533,G158&lt;=1.025),AND(F158&gt;=0.533,F158&lt;=1.025,G158&gt;=0.318,G158&lt;=0.698))</f>
        <v>0</v>
      </c>
      <c r="K158" s="123">
        <f>IF(J158,0.5,0)</f>
        <v>0</v>
      </c>
      <c r="L158" s="69">
        <f>IF(J158=TRUE,I158/K158,0)</f>
        <v>0</v>
      </c>
      <c r="M158" s="150">
        <f>VLOOKUP(H$136,Q$144:R$156,2,FALSE)</f>
        <v>140</v>
      </c>
    </row>
    <row r="160" spans="2:22" ht="15.75" thickBot="1" x14ac:dyDescent="0.3"/>
    <row r="161" spans="1:25" ht="15.75" thickBot="1" x14ac:dyDescent="0.3">
      <c r="B161" s="82" t="s">
        <v>0</v>
      </c>
      <c r="C161" s="83">
        <f>C134</f>
        <v>390</v>
      </c>
      <c r="D161" s="115">
        <f>D134</f>
        <v>150</v>
      </c>
      <c r="E161" s="83">
        <f>E134</f>
        <v>100</v>
      </c>
      <c r="F161" s="116">
        <f>C161+0.5*E161+23</f>
        <v>463</v>
      </c>
      <c r="G161" s="117">
        <v>113</v>
      </c>
      <c r="H161" s="126">
        <v>358.77499999999998</v>
      </c>
      <c r="I161" s="82"/>
    </row>
    <row r="162" spans="1:25" ht="30" x14ac:dyDescent="0.25">
      <c r="B162" s="82"/>
      <c r="C162" s="82"/>
      <c r="D162" s="82"/>
      <c r="E162" s="82"/>
      <c r="F162" s="229" t="s">
        <v>119</v>
      </c>
      <c r="G162" s="231"/>
      <c r="H162" s="83" t="s">
        <v>151</v>
      </c>
      <c r="I162" s="86" t="s">
        <v>86</v>
      </c>
      <c r="J162" s="87" t="s">
        <v>87</v>
      </c>
      <c r="K162" s="4" t="s">
        <v>88</v>
      </c>
      <c r="L162" s="93" t="s">
        <v>152</v>
      </c>
      <c r="M162" s="4" t="s">
        <v>158</v>
      </c>
    </row>
    <row r="163" spans="1:25" x14ac:dyDescent="0.25">
      <c r="B163" s="82"/>
      <c r="C163" s="83" t="s">
        <v>5</v>
      </c>
      <c r="D163" s="83" t="s">
        <v>6</v>
      </c>
      <c r="E163" s="83" t="s">
        <v>7</v>
      </c>
      <c r="F163" s="83" t="s">
        <v>109</v>
      </c>
      <c r="G163" s="83" t="s">
        <v>121</v>
      </c>
      <c r="H163" s="83" t="str">
        <f>H96</f>
        <v>process 4c x 0c</v>
      </c>
      <c r="I163" s="83"/>
      <c r="J163" s="85" t="s">
        <v>111</v>
      </c>
      <c r="L163" s="85"/>
      <c r="M163" s="4"/>
    </row>
    <row r="164" spans="1:25" x14ac:dyDescent="0.25">
      <c r="B164" s="143" t="s">
        <v>0</v>
      </c>
      <c r="C164" s="100">
        <f>$C$37/1000</f>
        <v>0.39</v>
      </c>
      <c r="D164" s="100">
        <f>$D$37/1000</f>
        <v>0.15</v>
      </c>
      <c r="E164" s="100">
        <f>$E$37/1000</f>
        <v>0.1</v>
      </c>
      <c r="F164" s="101">
        <f>2*(D164+E164)+0.035</f>
        <v>0.53500000000000003</v>
      </c>
      <c r="G164" s="101">
        <f>2*(C164+0.7*(E164)+0.055)</f>
        <v>1.03</v>
      </c>
      <c r="H164" s="144" t="str">
        <f>H96</f>
        <v>process 4c x 0c</v>
      </c>
      <c r="I164" s="121">
        <f>I67</f>
        <v>1000</v>
      </c>
      <c r="J164" s="104" t="b">
        <f>OR(AND(F164&gt;=0.3,F164&lt;=0.698,G164&gt;=0.42,G164&lt;=1.025),AND(F164&gt;=0.42,F164&lt;=1.025,G164&gt;=0.3,G164&lt;=0.698))</f>
        <v>0</v>
      </c>
      <c r="K164" s="104">
        <f>IF(J164,2,0)</f>
        <v>0</v>
      </c>
      <c r="L164" s="69">
        <f>IF(J164=TRUE,I164/K164,0)</f>
        <v>0</v>
      </c>
      <c r="M164" s="150">
        <f>VLOOKUP(H$136,Q$144:R$156,2,FALSE)</f>
        <v>140</v>
      </c>
    </row>
    <row r="165" spans="1:25" x14ac:dyDescent="0.25">
      <c r="B165" s="82"/>
      <c r="C165" s="100">
        <f>$C$37/1000</f>
        <v>0.39</v>
      </c>
      <c r="D165" s="100">
        <f>$D$37/1000</f>
        <v>0.15</v>
      </c>
      <c r="E165" s="100">
        <f>$E$37/1000</f>
        <v>0.1</v>
      </c>
      <c r="F165" s="101">
        <f>2*(D165+E165)+0.035</f>
        <v>0.53500000000000003</v>
      </c>
      <c r="G165" s="101">
        <f>2*(C165+0.7*(E165)+0.055)</f>
        <v>1.03</v>
      </c>
      <c r="H165" s="144" t="str">
        <f>H96</f>
        <v>process 4c x 0c</v>
      </c>
      <c r="I165" s="121">
        <f>I68</f>
        <v>2000</v>
      </c>
      <c r="J165" s="104" t="b">
        <f>OR(AND(F165&gt;=0.3,F165&lt;=0.698,G165&gt;=0.42,G165&lt;=1.025),AND(F165&gt;=0.42,F165&lt;=1.025,G165&gt;=0.3,G165&lt;=0.698))</f>
        <v>0</v>
      </c>
      <c r="K165" s="104">
        <f>IF(J165,2,0)</f>
        <v>0</v>
      </c>
      <c r="L165" s="69">
        <f>IF(J165=TRUE,I165/K165,0)</f>
        <v>0</v>
      </c>
      <c r="M165" s="150">
        <f>VLOOKUP(H$136,Q$144:R$156,2,FALSE)</f>
        <v>140</v>
      </c>
    </row>
    <row r="166" spans="1:25" x14ac:dyDescent="0.25">
      <c r="B166" s="82"/>
      <c r="C166" s="100">
        <f>$C$37/1000</f>
        <v>0.39</v>
      </c>
      <c r="D166" s="100">
        <f>$D$37/1000</f>
        <v>0.15</v>
      </c>
      <c r="E166" s="100">
        <f>$E$37/1000</f>
        <v>0.1</v>
      </c>
      <c r="F166" s="101">
        <f>2*(D166+E166)+0.035</f>
        <v>0.53500000000000003</v>
      </c>
      <c r="G166" s="101">
        <f>2*(C166+0.7*(E166)+0.055)</f>
        <v>1.03</v>
      </c>
      <c r="H166" s="144" t="str">
        <f>H96</f>
        <v>process 4c x 0c</v>
      </c>
      <c r="I166" s="121">
        <f>I69</f>
        <v>3000</v>
      </c>
      <c r="J166" s="104" t="b">
        <f>OR(AND(F166&gt;=0.3,F166&lt;=0.698,G166&gt;=0.42,G166&lt;=1.025),AND(F166&gt;=0.42,F166&lt;=1.025,G166&gt;=0.3,G166&lt;=0.698))</f>
        <v>0</v>
      </c>
      <c r="K166" s="104">
        <f>IF(J166,2,0)</f>
        <v>0</v>
      </c>
      <c r="L166" s="69">
        <f>IF(J166=TRUE,I166/K166,0)</f>
        <v>0</v>
      </c>
      <c r="M166" s="150">
        <f>VLOOKUP(H$136,Q$144:R$156,2,FALSE)</f>
        <v>140</v>
      </c>
    </row>
    <row r="167" spans="1:25" x14ac:dyDescent="0.25">
      <c r="B167" s="82"/>
      <c r="C167" s="100">
        <f>$C$37/1000</f>
        <v>0.39</v>
      </c>
      <c r="D167" s="100">
        <f>$D$37/1000</f>
        <v>0.15</v>
      </c>
      <c r="E167" s="100">
        <f>$E$37/1000</f>
        <v>0.1</v>
      </c>
      <c r="F167" s="101">
        <f>2*(D167+E167)+0.035</f>
        <v>0.53500000000000003</v>
      </c>
      <c r="G167" s="101">
        <f>2*(C167+0.7*(E167)+0.055)</f>
        <v>1.03</v>
      </c>
      <c r="H167" s="144" t="str">
        <f>H96</f>
        <v>process 4c x 0c</v>
      </c>
      <c r="I167" s="121">
        <f>I70</f>
        <v>4000</v>
      </c>
      <c r="J167" s="104" t="b">
        <f>OR(AND(F167&gt;=0.3,F167&lt;=0.698,G167&gt;=0.42,G167&lt;=1.025),AND(F167&gt;=0.42,F167&lt;=1.025,G167&gt;=0.3,G167&lt;=0.698))</f>
        <v>0</v>
      </c>
      <c r="K167" s="104">
        <f>IF(J167,2,0)</f>
        <v>0</v>
      </c>
      <c r="L167" s="69">
        <f>IF(J167=TRUE,I167/K167,0)</f>
        <v>0</v>
      </c>
      <c r="M167" s="150">
        <f>VLOOKUP(H$136,Q$144:R$156,2,FALSE)</f>
        <v>140</v>
      </c>
    </row>
    <row r="170" spans="1:25" s="80" customFormat="1" x14ac:dyDescent="0.25">
      <c r="A170" s="226" t="s">
        <v>160</v>
      </c>
      <c r="B170" s="226"/>
      <c r="C170" s="226"/>
      <c r="Q170" s="226" t="s">
        <v>160</v>
      </c>
      <c r="R170" s="226"/>
      <c r="S170" s="226"/>
    </row>
    <row r="172" spans="1:25" x14ac:dyDescent="0.25">
      <c r="N172" s="50" t="s">
        <v>161</v>
      </c>
      <c r="Q172" s="241" t="s">
        <v>162</v>
      </c>
      <c r="R172" s="242"/>
      <c r="S172" s="242"/>
      <c r="T172" s="242"/>
      <c r="U172" s="242"/>
      <c r="V172" s="242"/>
      <c r="W172" s="242"/>
      <c r="X172" s="242"/>
      <c r="Y172" s="243"/>
    </row>
    <row r="173" spans="1:25" ht="18.75" x14ac:dyDescent="0.3">
      <c r="B173" s="152" t="s">
        <v>163</v>
      </c>
      <c r="C173" s="152"/>
      <c r="D173" s="152"/>
      <c r="E173" s="152"/>
      <c r="F173" s="152"/>
      <c r="G173" s="152"/>
      <c r="H173" s="152"/>
      <c r="N173" s="50" t="s">
        <v>37</v>
      </c>
      <c r="Q173" s="244"/>
      <c r="R173" s="245"/>
      <c r="S173" s="245"/>
      <c r="T173" s="245"/>
      <c r="U173" s="245"/>
      <c r="V173" s="245"/>
      <c r="W173" s="245"/>
      <c r="X173" s="245"/>
      <c r="Y173" s="246"/>
    </row>
    <row r="174" spans="1:25" ht="15.75" thickBot="1" x14ac:dyDescent="0.3">
      <c r="N174" s="50" t="s">
        <v>164</v>
      </c>
    </row>
    <row r="175" spans="1:25" ht="15.75" thickBot="1" x14ac:dyDescent="0.3">
      <c r="B175" s="82" t="s">
        <v>0</v>
      </c>
      <c r="C175" s="83">
        <f>C37</f>
        <v>390</v>
      </c>
      <c r="D175" s="115">
        <f>D37</f>
        <v>150</v>
      </c>
      <c r="E175" s="83">
        <f>E37</f>
        <v>100</v>
      </c>
      <c r="F175" s="116">
        <f>C175+0.5*E175+23</f>
        <v>463</v>
      </c>
      <c r="G175" s="117">
        <v>113</v>
      </c>
      <c r="H175" s="126">
        <v>358.77499999999998</v>
      </c>
      <c r="I175" s="82"/>
    </row>
    <row r="176" spans="1:25" ht="30.75" thickBot="1" x14ac:dyDescent="0.3">
      <c r="B176" s="82"/>
      <c r="C176" s="82"/>
      <c r="D176" s="82"/>
      <c r="E176" s="82"/>
      <c r="F176" s="227" t="s">
        <v>85</v>
      </c>
      <c r="G176" s="228"/>
      <c r="H176" s="83" t="s">
        <v>151</v>
      </c>
      <c r="I176" s="86" t="s">
        <v>86</v>
      </c>
      <c r="J176" s="87" t="s">
        <v>87</v>
      </c>
      <c r="K176" s="4" t="s">
        <v>88</v>
      </c>
      <c r="L176" s="93" t="s">
        <v>152</v>
      </c>
      <c r="M176" s="153" t="s">
        <v>165</v>
      </c>
      <c r="N176" s="154" t="s">
        <v>166</v>
      </c>
      <c r="O176" s="93" t="s">
        <v>167</v>
      </c>
      <c r="P176" s="93" t="s">
        <v>168</v>
      </c>
      <c r="Q176" s="93" t="s">
        <v>169</v>
      </c>
      <c r="R176" s="218"/>
      <c r="S176" s="141" t="s">
        <v>170</v>
      </c>
    </row>
    <row r="177" spans="2:27" x14ac:dyDescent="0.25">
      <c r="B177" s="82"/>
      <c r="C177" s="83" t="s">
        <v>5</v>
      </c>
      <c r="D177" s="83" t="s">
        <v>6</v>
      </c>
      <c r="E177" s="83" t="s">
        <v>7</v>
      </c>
      <c r="F177" s="83" t="s">
        <v>109</v>
      </c>
      <c r="G177" s="83" t="s">
        <v>110</v>
      </c>
      <c r="H177" s="148" t="str">
        <f>H96</f>
        <v>process 4c x 0c</v>
      </c>
      <c r="I177" s="83"/>
      <c r="J177" s="85" t="s">
        <v>111</v>
      </c>
      <c r="L177" s="85"/>
      <c r="M177" s="4"/>
      <c r="N177" s="155" t="str">
        <f>E11</f>
        <v>Normal Ink *</v>
      </c>
      <c r="O177" s="4"/>
      <c r="P177" s="4"/>
      <c r="Q177" s="4"/>
    </row>
    <row r="178" spans="2:27" x14ac:dyDescent="0.25">
      <c r="B178" s="143" t="s">
        <v>0</v>
      </c>
      <c r="C178" s="100">
        <f>$C$37/1000</f>
        <v>0.39</v>
      </c>
      <c r="D178" s="100">
        <f>$D$37/1000</f>
        <v>0.15</v>
      </c>
      <c r="E178" s="100">
        <f>$E$37/1000</f>
        <v>0.1</v>
      </c>
      <c r="F178" s="101">
        <f>2*(D178+E178)+0.035</f>
        <v>0.53500000000000003</v>
      </c>
      <c r="G178" s="101">
        <f>C178+0.7*(E178)+0.055</f>
        <v>0.51500000000000001</v>
      </c>
      <c r="H178" s="148" t="str">
        <f>H96</f>
        <v>process 4c x 0c</v>
      </c>
      <c r="I178" s="121">
        <f>I40</f>
        <v>1000</v>
      </c>
      <c r="J178" s="104" t="b">
        <f>AND(F178&gt;=0.533,F178&lt;=1.025,G178&gt;=0.318,G178&lt;=0.698)</f>
        <v>1</v>
      </c>
      <c r="K178" s="104">
        <f>IF(J178,1,0)</f>
        <v>1</v>
      </c>
      <c r="L178" s="69">
        <f>IF(J178=TRUE,I178/K178,0)</f>
        <v>1000</v>
      </c>
      <c r="M178" s="156">
        <f>VLOOKUP(H$177,S$185:T$197,2,FALSE)</f>
        <v>0</v>
      </c>
      <c r="N178" s="4">
        <f>IF($N$177=$N$172,0,IF($N$177=$N$173,60,IF($N$177=$N$174,150,"")))</f>
        <v>60</v>
      </c>
      <c r="O178" s="134">
        <f>F178*G178*1550*L178*M178*0.000002</f>
        <v>0</v>
      </c>
      <c r="P178" s="4">
        <f>IF(AND(O178&gt;=0.01,O178&lt;=2),2,CEILING(O178,1))</f>
        <v>0</v>
      </c>
      <c r="Q178" s="4">
        <f>N178*P178</f>
        <v>0</v>
      </c>
      <c r="R178" s="18"/>
      <c r="S178" s="157">
        <f>SUM(Q178,Q187,Q196,Q205)/MAX(1,SUM((Q178&gt;0)+(Q187&gt;0)+(Q196&gt;0)+(Q205&gt;0)))</f>
        <v>0</v>
      </c>
    </row>
    <row r="179" spans="2:27" x14ac:dyDescent="0.25">
      <c r="B179" s="82"/>
      <c r="C179" s="100">
        <f>$C$37/1000</f>
        <v>0.39</v>
      </c>
      <c r="D179" s="100">
        <f>$D$37/1000</f>
        <v>0.15</v>
      </c>
      <c r="E179" s="100">
        <f>$E$37/1000</f>
        <v>0.1</v>
      </c>
      <c r="F179" s="101">
        <f>2*(D179+E179)+0.035</f>
        <v>0.53500000000000003</v>
      </c>
      <c r="G179" s="101">
        <f>C179+0.7*(E179)+0.055</f>
        <v>0.51500000000000001</v>
      </c>
      <c r="H179" s="148" t="str">
        <f>H96</f>
        <v>process 4c x 0c</v>
      </c>
      <c r="I179" s="121">
        <f>I41</f>
        <v>2000</v>
      </c>
      <c r="J179" s="104" t="b">
        <f>AND(F179&gt;=0.533,F179&lt;=1.025,G179&gt;=0.318,G179&lt;=0.698)</f>
        <v>1</v>
      </c>
      <c r="K179" s="104">
        <f>IF(J179,1,0)</f>
        <v>1</v>
      </c>
      <c r="L179" s="69">
        <f>IF(J179=TRUE,I179/K179,0)</f>
        <v>2000</v>
      </c>
      <c r="M179" s="156">
        <f>VLOOKUP(H$177,S$185:T$197,2,FALSE)</f>
        <v>0</v>
      </c>
      <c r="N179" s="4">
        <f>IF($N$177=$N$172,0,IF($N$177=$N$173,60,IF($N$177=$N$174,150,"")))</f>
        <v>60</v>
      </c>
      <c r="O179" s="134">
        <f>F179*G179*1550*L179*M179*0.000002</f>
        <v>0</v>
      </c>
      <c r="P179" s="4">
        <f>IF(AND(O179&gt;=0.01,O179&lt;=2),2,CEILING(O179,1))</f>
        <v>0</v>
      </c>
      <c r="Q179" s="4">
        <f>N179*P179</f>
        <v>0</v>
      </c>
      <c r="R179" s="18"/>
      <c r="S179" s="157">
        <f>SUM(Q179,Q188,Q197,Q206)/MAX(1,SUM((Q179&gt;0)+(Q188&gt;0)+(Q197&gt;0)+(Q206&gt;0)))</f>
        <v>0</v>
      </c>
    </row>
    <row r="180" spans="2:27" x14ac:dyDescent="0.25">
      <c r="B180" s="82"/>
      <c r="C180" s="100">
        <f>$C$37/1000</f>
        <v>0.39</v>
      </c>
      <c r="D180" s="100">
        <f>$D$37/1000</f>
        <v>0.15</v>
      </c>
      <c r="E180" s="100">
        <f>$E$37/1000</f>
        <v>0.1</v>
      </c>
      <c r="F180" s="101">
        <f>2*(D180+E180)+0.035</f>
        <v>0.53500000000000003</v>
      </c>
      <c r="G180" s="101">
        <f>C180+0.7*(E180)+0.055</f>
        <v>0.51500000000000001</v>
      </c>
      <c r="H180" s="148" t="str">
        <f>H96</f>
        <v>process 4c x 0c</v>
      </c>
      <c r="I180" s="121">
        <f>I42</f>
        <v>3000</v>
      </c>
      <c r="J180" s="104" t="b">
        <f>AND(F180&gt;=0.533,F180&lt;=1.025,G180&gt;=0.318,G180&lt;=0.698)</f>
        <v>1</v>
      </c>
      <c r="K180" s="104">
        <f>IF(J180,1,0)</f>
        <v>1</v>
      </c>
      <c r="L180" s="69">
        <f>IF(J180=TRUE,I180/K180,0)</f>
        <v>3000</v>
      </c>
      <c r="M180" s="156">
        <f>VLOOKUP(H$177,S$185:T$197,2,FALSE)</f>
        <v>0</v>
      </c>
      <c r="N180" s="4">
        <f>IF($N$177=$N$172,0,IF($N$177=$N$173,60,IF($N$177=$N$174,150,"")))</f>
        <v>60</v>
      </c>
      <c r="O180" s="134">
        <f>F180*G180*1550*L180*M180*0.000002</f>
        <v>0</v>
      </c>
      <c r="P180" s="4">
        <f>IF(AND(O180&gt;=0.01,O180&lt;=2),2,CEILING(O180,1))</f>
        <v>0</v>
      </c>
      <c r="Q180" s="4">
        <f>N180*P180</f>
        <v>0</v>
      </c>
      <c r="R180" s="18"/>
      <c r="S180" s="157">
        <f>SUM(Q180,Q189,Q198,Q207)/MAX(1,SUM((Q180&gt;0)+(Q189&gt;0)+(Q198&gt;0)+(Q207&gt;0)))</f>
        <v>0</v>
      </c>
    </row>
    <row r="181" spans="2:27" x14ac:dyDescent="0.25">
      <c r="B181" s="82"/>
      <c r="C181" s="100">
        <f>$C$37/1000</f>
        <v>0.39</v>
      </c>
      <c r="D181" s="100">
        <f>$D$37/1000</f>
        <v>0.15</v>
      </c>
      <c r="E181" s="100">
        <f>$E$37/1000</f>
        <v>0.1</v>
      </c>
      <c r="F181" s="101">
        <f>2*(D181+E181)+0.035</f>
        <v>0.53500000000000003</v>
      </c>
      <c r="G181" s="101">
        <f>C181+0.7*(E181)+0.055</f>
        <v>0.51500000000000001</v>
      </c>
      <c r="H181" s="148" t="str">
        <f>H96</f>
        <v>process 4c x 0c</v>
      </c>
      <c r="I181" s="121">
        <f>I43</f>
        <v>4000</v>
      </c>
      <c r="J181" s="104" t="b">
        <f>AND(F181&gt;=0.533,F181&lt;=1.025,G181&gt;=0.318,G181&lt;=0.698)</f>
        <v>1</v>
      </c>
      <c r="K181" s="104">
        <f>IF(J181,1,0)</f>
        <v>1</v>
      </c>
      <c r="L181" s="69">
        <f>IF(J181=TRUE,I181/K181,0)</f>
        <v>4000</v>
      </c>
      <c r="M181" s="156">
        <f>VLOOKUP(H$177,S$185:T$197,2,FALSE)</f>
        <v>0</v>
      </c>
      <c r="N181" s="4">
        <f>IF($N$177=$N$172,0,IF($N$177=$N$173,60,IF($N$177=$N$174,150,"")))</f>
        <v>60</v>
      </c>
      <c r="O181" s="134">
        <f>F181*G181*1550*L181*M181*0.000002</f>
        <v>0</v>
      </c>
      <c r="P181" s="4">
        <f>IF(AND(O181&gt;=0.01,O181&lt;=2),2,CEILING(O181,1))</f>
        <v>0</v>
      </c>
      <c r="Q181" s="4">
        <f>N181*P181</f>
        <v>0</v>
      </c>
      <c r="R181" s="18"/>
      <c r="S181" s="157">
        <f>SUM(Q181,Q190,Q199,Q208)/MAX(1,SUM((Q181&gt;0)+(Q190&gt;0)+(Q199&gt;0)+(Q208&gt;0)))</f>
        <v>0</v>
      </c>
    </row>
    <row r="182" spans="2:27" ht="21.6" customHeight="1" x14ac:dyDescent="0.25">
      <c r="T182" s="249" t="s">
        <v>171</v>
      </c>
      <c r="V182" s="131"/>
      <c r="W182" s="252" t="s">
        <v>172</v>
      </c>
      <c r="X182" s="252" t="s">
        <v>173</v>
      </c>
      <c r="AA182" s="249" t="s">
        <v>174</v>
      </c>
    </row>
    <row r="183" spans="2:27" ht="15.75" thickBot="1" x14ac:dyDescent="0.3">
      <c r="T183" s="250"/>
      <c r="V183" s="136"/>
      <c r="W183" s="253"/>
      <c r="X183" s="253"/>
      <c r="AA183" s="250"/>
    </row>
    <row r="184" spans="2:27" ht="15.75" thickBot="1" x14ac:dyDescent="0.3">
      <c r="B184" s="82" t="s">
        <v>0</v>
      </c>
      <c r="C184" s="83">
        <f>C175</f>
        <v>390</v>
      </c>
      <c r="D184" s="115">
        <f>D175</f>
        <v>150</v>
      </c>
      <c r="E184" s="83">
        <f>E175</f>
        <v>100</v>
      </c>
      <c r="F184" s="116">
        <f>C184+0.5*E184+23</f>
        <v>463</v>
      </c>
      <c r="G184" s="117">
        <v>113</v>
      </c>
      <c r="H184" s="118">
        <v>358.77499999999998</v>
      </c>
      <c r="I184" s="82"/>
      <c r="S184" s="4" t="s">
        <v>151</v>
      </c>
      <c r="T184" s="251"/>
      <c r="V184" s="4" t="s">
        <v>151</v>
      </c>
      <c r="W184" s="254"/>
      <c r="X184" s="254"/>
      <c r="Z184" s="4" t="s">
        <v>151</v>
      </c>
      <c r="AA184" s="251"/>
    </row>
    <row r="185" spans="2:27" ht="30" x14ac:dyDescent="0.25">
      <c r="B185" s="82"/>
      <c r="C185" s="82"/>
      <c r="D185" s="82"/>
      <c r="E185" s="82"/>
      <c r="F185" s="229" t="s">
        <v>112</v>
      </c>
      <c r="G185" s="230"/>
      <c r="H185" s="83" t="s">
        <v>151</v>
      </c>
      <c r="I185" s="119" t="s">
        <v>86</v>
      </c>
      <c r="J185" s="4" t="s">
        <v>113</v>
      </c>
      <c r="K185" s="4"/>
      <c r="L185" s="93" t="s">
        <v>152</v>
      </c>
      <c r="M185" s="153" t="s">
        <v>175</v>
      </c>
      <c r="N185" s="154" t="s">
        <v>166</v>
      </c>
      <c r="O185" s="93" t="s">
        <v>176</v>
      </c>
      <c r="P185" s="93" t="s">
        <v>168</v>
      </c>
      <c r="Q185" s="93" t="s">
        <v>169</v>
      </c>
      <c r="R185" s="93"/>
      <c r="S185" s="4" t="s">
        <v>126</v>
      </c>
      <c r="T185" s="158">
        <v>0</v>
      </c>
      <c r="V185" s="4" t="s">
        <v>126</v>
      </c>
      <c r="W185" s="4">
        <v>0</v>
      </c>
      <c r="X185" s="4">
        <v>0</v>
      </c>
      <c r="Z185" s="12" t="s">
        <v>126</v>
      </c>
      <c r="AA185" s="134">
        <f>$F$178*$G$178*L178*$M$178*0.000002</f>
        <v>0</v>
      </c>
    </row>
    <row r="186" spans="2:27" x14ac:dyDescent="0.25">
      <c r="B186" s="82"/>
      <c r="C186" s="83" t="s">
        <v>5</v>
      </c>
      <c r="D186" s="83" t="s">
        <v>6</v>
      </c>
      <c r="E186" s="83" t="s">
        <v>7</v>
      </c>
      <c r="F186" s="83" t="s">
        <v>115</v>
      </c>
      <c r="G186" s="83" t="s">
        <v>116</v>
      </c>
      <c r="H186" s="146" t="str">
        <f>H96</f>
        <v>process 4c x 0c</v>
      </c>
      <c r="I186" s="83"/>
      <c r="J186" s="85" t="s">
        <v>111</v>
      </c>
      <c r="K186" s="85"/>
      <c r="L186" s="85"/>
      <c r="M186" s="4"/>
      <c r="N186" s="155" t="str">
        <f>E11</f>
        <v>Normal Ink *</v>
      </c>
      <c r="O186" s="4"/>
      <c r="P186" s="4"/>
      <c r="S186" s="4" t="s">
        <v>30</v>
      </c>
      <c r="T186" s="158">
        <v>0</v>
      </c>
      <c r="V186" s="4" t="s">
        <v>30</v>
      </c>
      <c r="W186" s="4">
        <v>0</v>
      </c>
      <c r="X186" s="4">
        <v>0</v>
      </c>
      <c r="Z186" s="12" t="s">
        <v>30</v>
      </c>
      <c r="AA186" s="134"/>
    </row>
    <row r="187" spans="2:27" x14ac:dyDescent="0.25">
      <c r="B187" s="143" t="s">
        <v>0</v>
      </c>
      <c r="C187" s="100">
        <f>$C$37/1000</f>
        <v>0.39</v>
      </c>
      <c r="D187" s="100">
        <f>$D$37/1000</f>
        <v>0.15</v>
      </c>
      <c r="E187" s="100">
        <f>$E$37/1000</f>
        <v>0.1</v>
      </c>
      <c r="F187" s="101">
        <f>1*(D187+E187)+0.035</f>
        <v>0.28500000000000003</v>
      </c>
      <c r="G187" s="101">
        <f>2*(C187+0.7*(E187)+0.055)</f>
        <v>1.03</v>
      </c>
      <c r="H187" s="146" t="str">
        <f>H96</f>
        <v>process 4c x 0c</v>
      </c>
      <c r="I187" s="121">
        <f>I49</f>
        <v>1000</v>
      </c>
      <c r="J187" s="122" t="b">
        <f>AND(F187&gt;=0.318,F187&lt;=0.698,G187&gt;=0.533,G187&lt;=1.025)</f>
        <v>0</v>
      </c>
      <c r="K187" s="122">
        <f>IF(J187,1,0)</f>
        <v>0</v>
      </c>
      <c r="L187" s="69">
        <f>IF(J187=TRUE,I187/K187,0)</f>
        <v>0</v>
      </c>
      <c r="M187" s="156">
        <f>VLOOKUP(H$177,S$185:T$197,2,FALSE)</f>
        <v>0</v>
      </c>
      <c r="N187" s="4">
        <f>IF($N$177=$N$172,0,IF($N$177=$N$173,60,IF($N$177=$N$174,150,"")))</f>
        <v>60</v>
      </c>
      <c r="O187" s="134">
        <f>F187*G187*1550*L187*M187*0.000002</f>
        <v>0</v>
      </c>
      <c r="P187" s="4">
        <f>IF(AND(O187&gt;=0.01,O187&lt;=2),2,CEILING(O187,1))</f>
        <v>0</v>
      </c>
      <c r="Q187" s="4">
        <f>N187*P187</f>
        <v>0</v>
      </c>
      <c r="R187" s="4"/>
      <c r="S187" s="4" t="s">
        <v>129</v>
      </c>
      <c r="T187" s="158">
        <v>0.33</v>
      </c>
      <c r="V187" s="4" t="s">
        <v>129</v>
      </c>
      <c r="W187" s="4">
        <v>60</v>
      </c>
      <c r="X187" s="4">
        <v>150</v>
      </c>
      <c r="Z187" s="12" t="s">
        <v>129</v>
      </c>
      <c r="AA187" s="134"/>
    </row>
    <row r="188" spans="2:27" x14ac:dyDescent="0.25">
      <c r="B188" s="82"/>
      <c r="C188" s="100">
        <f>$C$37/1000</f>
        <v>0.39</v>
      </c>
      <c r="D188" s="100">
        <f>$D$37/1000</f>
        <v>0.15</v>
      </c>
      <c r="E188" s="100">
        <f>$E$37/1000</f>
        <v>0.1</v>
      </c>
      <c r="F188" s="101">
        <f>1*(D188+E188)+0.035</f>
        <v>0.28500000000000003</v>
      </c>
      <c r="G188" s="101">
        <f>2*(C188+0.7*(E188)+0.055)</f>
        <v>1.03</v>
      </c>
      <c r="H188" s="146" t="str">
        <f>H96</f>
        <v>process 4c x 0c</v>
      </c>
      <c r="I188" s="121">
        <f>I50</f>
        <v>2000</v>
      </c>
      <c r="J188" s="122" t="b">
        <f>AND(F188&gt;=0.318,F188&lt;=0.698,G188&gt;=0.533,G188&lt;=1.025)</f>
        <v>0</v>
      </c>
      <c r="K188" s="122">
        <f>IF(J188,1,0)</f>
        <v>0</v>
      </c>
      <c r="L188" s="69">
        <f>IF(J188=TRUE,I188/K188,0)</f>
        <v>0</v>
      </c>
      <c r="M188" s="156">
        <f>VLOOKUP(H$177,S$185:T$197,2,FALSE)</f>
        <v>0</v>
      </c>
      <c r="N188" s="4">
        <f>IF($N$177=$N$172,0,IF($N$177=$N$173,60,IF($N$177=$N$174,150,"")))</f>
        <v>60</v>
      </c>
      <c r="O188" s="134">
        <f>F188*G188*1550*L188*M188*0.000002</f>
        <v>0</v>
      </c>
      <c r="P188" s="4">
        <f>IF(AND(O188&gt;=0.01,O188&lt;=2),2,CEILING(O188,1))</f>
        <v>0</v>
      </c>
      <c r="Q188" s="4">
        <f>N188*P188</f>
        <v>0</v>
      </c>
      <c r="R188" s="4"/>
      <c r="S188" s="4" t="s">
        <v>131</v>
      </c>
      <c r="T188" s="158">
        <v>0.67</v>
      </c>
      <c r="V188" s="4" t="s">
        <v>131</v>
      </c>
      <c r="W188" s="4">
        <v>60</v>
      </c>
      <c r="X188" s="4">
        <v>150</v>
      </c>
      <c r="Z188" s="12" t="s">
        <v>131</v>
      </c>
      <c r="AA188" s="134"/>
    </row>
    <row r="189" spans="2:27" x14ac:dyDescent="0.25">
      <c r="B189" s="82"/>
      <c r="C189" s="100">
        <f>$C$37/1000</f>
        <v>0.39</v>
      </c>
      <c r="D189" s="100">
        <f>$D$37/1000</f>
        <v>0.15</v>
      </c>
      <c r="E189" s="100">
        <f>$E$37/1000</f>
        <v>0.1</v>
      </c>
      <c r="F189" s="101">
        <f>1*(D189+E189)+0.035</f>
        <v>0.28500000000000003</v>
      </c>
      <c r="G189" s="101">
        <f>2*(C189+0.7*(E189)+0.055)</f>
        <v>1.03</v>
      </c>
      <c r="H189" s="146" t="str">
        <f>H96</f>
        <v>process 4c x 0c</v>
      </c>
      <c r="I189" s="121">
        <f>I51</f>
        <v>3000</v>
      </c>
      <c r="J189" s="122" t="b">
        <f>AND(F189&gt;=0.318,F189&lt;=0.698,G189&gt;=0.533,G189&lt;=1.025)</f>
        <v>0</v>
      </c>
      <c r="K189" s="122">
        <f>IF(J189,1,0)</f>
        <v>0</v>
      </c>
      <c r="L189" s="69">
        <f>IF(J189=TRUE,I189/K189,0)</f>
        <v>0</v>
      </c>
      <c r="M189" s="156">
        <f>VLOOKUP(H$177,S$185:T$197,2,FALSE)</f>
        <v>0</v>
      </c>
      <c r="N189" s="4">
        <f>IF($N$177=$N$172,0,IF($N$177=$N$173,60,IF($N$177=$N$174,150,"")))</f>
        <v>60</v>
      </c>
      <c r="O189" s="134">
        <f>F189*G189*1550*L189*M189*0.000002</f>
        <v>0</v>
      </c>
      <c r="P189" s="4">
        <f>IF(AND(O189&gt;=0.01,O189&lt;=2),2,CEILING(O189,1))</f>
        <v>0</v>
      </c>
      <c r="Q189" s="4">
        <f>N189*P189</f>
        <v>0</v>
      </c>
      <c r="R189" s="4"/>
      <c r="S189" s="4" t="s">
        <v>133</v>
      </c>
      <c r="T189" s="158">
        <v>1</v>
      </c>
      <c r="V189" s="4" t="s">
        <v>133</v>
      </c>
      <c r="W189" s="4">
        <v>60</v>
      </c>
      <c r="X189" s="4">
        <v>150</v>
      </c>
      <c r="Z189" s="12" t="s">
        <v>133</v>
      </c>
      <c r="AA189" s="134"/>
    </row>
    <row r="190" spans="2:27" x14ac:dyDescent="0.25">
      <c r="B190" s="82"/>
      <c r="C190" s="100">
        <f>$C$37/1000</f>
        <v>0.39</v>
      </c>
      <c r="D190" s="100">
        <f>$D$37/1000</f>
        <v>0.15</v>
      </c>
      <c r="E190" s="100">
        <f>$E$37/1000</f>
        <v>0.1</v>
      </c>
      <c r="F190" s="101">
        <f>1*(D190+E190)+0.035</f>
        <v>0.28500000000000003</v>
      </c>
      <c r="G190" s="101">
        <f>2*(C190+0.7*(E190)+0.055)</f>
        <v>1.03</v>
      </c>
      <c r="H190" s="146" t="str">
        <f>H96</f>
        <v>process 4c x 0c</v>
      </c>
      <c r="I190" s="121">
        <f>I52</f>
        <v>4000</v>
      </c>
      <c r="J190" s="122" t="b">
        <f>AND(F190&gt;=0.318,F190&lt;=0.698,G190&gt;=0.533,G190&lt;=1.025)</f>
        <v>0</v>
      </c>
      <c r="K190" s="122">
        <f>IF(J190,1,0)</f>
        <v>0</v>
      </c>
      <c r="L190" s="69">
        <f>IF(J190=TRUE,I190/K190,0)</f>
        <v>0</v>
      </c>
      <c r="M190" s="156">
        <f>VLOOKUP(H$177,S$185:T$197,2,FALSE)</f>
        <v>0</v>
      </c>
      <c r="N190" s="4">
        <f>IF($N$177=$N$172,0,IF($N$177=$N$173,60,IF($N$177=$N$174,150,"")))</f>
        <v>60</v>
      </c>
      <c r="O190" s="134">
        <f>F190*G190*1550*L190*M190*0.000002</f>
        <v>0</v>
      </c>
      <c r="P190" s="4">
        <f>IF(AND(O190&gt;=0.01,O190&lt;=2),2,CEILING(O190,1))</f>
        <v>0</v>
      </c>
      <c r="Q190" s="4">
        <f>N190*P190</f>
        <v>0</v>
      </c>
      <c r="R190" s="4"/>
      <c r="S190" s="4" t="s">
        <v>134</v>
      </c>
      <c r="T190" s="158">
        <v>0.33</v>
      </c>
      <c r="V190" s="4" t="s">
        <v>134</v>
      </c>
      <c r="W190" s="4">
        <v>60</v>
      </c>
      <c r="X190" s="4">
        <v>150</v>
      </c>
      <c r="Z190" s="12" t="s">
        <v>134</v>
      </c>
      <c r="AA190" s="134"/>
    </row>
    <row r="191" spans="2:27" x14ac:dyDescent="0.25">
      <c r="S191" s="4" t="s">
        <v>136</v>
      </c>
      <c r="T191" s="158">
        <v>0.67</v>
      </c>
      <c r="V191" s="4" t="s">
        <v>136</v>
      </c>
      <c r="W191" s="4">
        <v>60</v>
      </c>
      <c r="X191" s="4">
        <v>150</v>
      </c>
      <c r="Z191" s="12" t="s">
        <v>136</v>
      </c>
      <c r="AA191" s="134"/>
    </row>
    <row r="192" spans="2:27" ht="15.75" thickBot="1" x14ac:dyDescent="0.3">
      <c r="S192" s="4" t="s">
        <v>138</v>
      </c>
      <c r="T192" s="158">
        <v>1</v>
      </c>
      <c r="V192" s="4" t="s">
        <v>138</v>
      </c>
      <c r="W192" s="4">
        <v>60</v>
      </c>
      <c r="X192" s="4">
        <v>150</v>
      </c>
      <c r="Z192" s="12" t="s">
        <v>138</v>
      </c>
      <c r="AA192" s="134"/>
    </row>
    <row r="193" spans="2:27" ht="15.75" thickBot="1" x14ac:dyDescent="0.3">
      <c r="B193" s="82" t="s">
        <v>0</v>
      </c>
      <c r="C193" s="83">
        <f>C175</f>
        <v>390</v>
      </c>
      <c r="D193" s="115">
        <f>D175</f>
        <v>150</v>
      </c>
      <c r="E193" s="83">
        <f>E175</f>
        <v>100</v>
      </c>
      <c r="F193" s="116">
        <f>C193+0.5*E193+23</f>
        <v>463</v>
      </c>
      <c r="G193" s="117">
        <v>113</v>
      </c>
      <c r="H193" s="118">
        <v>358.77499999999998</v>
      </c>
      <c r="I193" s="82"/>
      <c r="S193" s="4" t="s">
        <v>140</v>
      </c>
      <c r="T193" s="158">
        <v>0.33</v>
      </c>
      <c r="V193" s="4" t="s">
        <v>140</v>
      </c>
      <c r="W193" s="4">
        <v>60</v>
      </c>
      <c r="X193" s="4">
        <v>150</v>
      </c>
      <c r="Z193" s="12" t="s">
        <v>140</v>
      </c>
      <c r="AA193" s="134"/>
    </row>
    <row r="194" spans="2:27" ht="30" x14ac:dyDescent="0.25">
      <c r="B194" s="82"/>
      <c r="C194" s="82"/>
      <c r="D194" s="82"/>
      <c r="E194" s="82"/>
      <c r="F194" s="229" t="s">
        <v>117</v>
      </c>
      <c r="G194" s="230"/>
      <c r="H194" s="83" t="s">
        <v>151</v>
      </c>
      <c r="I194" s="86" t="s">
        <v>86</v>
      </c>
      <c r="J194" s="4" t="s">
        <v>113</v>
      </c>
      <c r="K194" s="4"/>
      <c r="L194" s="93" t="s">
        <v>152</v>
      </c>
      <c r="M194" s="153" t="s">
        <v>175</v>
      </c>
      <c r="N194" s="154" t="s">
        <v>166</v>
      </c>
      <c r="O194" s="93" t="s">
        <v>176</v>
      </c>
      <c r="P194" s="93" t="s">
        <v>168</v>
      </c>
      <c r="Q194" s="93" t="s">
        <v>169</v>
      </c>
      <c r="R194" s="93"/>
      <c r="S194" s="4" t="s">
        <v>142</v>
      </c>
      <c r="T194" s="158">
        <v>0.67</v>
      </c>
      <c r="V194" s="4" t="s">
        <v>142</v>
      </c>
      <c r="W194" s="4">
        <v>60</v>
      </c>
      <c r="X194" s="4">
        <v>150</v>
      </c>
      <c r="Z194" s="12" t="s">
        <v>142</v>
      </c>
      <c r="AA194" s="134"/>
    </row>
    <row r="195" spans="2:27" x14ac:dyDescent="0.25">
      <c r="B195" s="82"/>
      <c r="C195" s="83" t="s">
        <v>5</v>
      </c>
      <c r="D195" s="83" t="s">
        <v>6</v>
      </c>
      <c r="E195" s="83" t="s">
        <v>7</v>
      </c>
      <c r="F195" s="83" t="s">
        <v>115</v>
      </c>
      <c r="G195" s="83" t="s">
        <v>110</v>
      </c>
      <c r="H195" s="146" t="str">
        <f>H96</f>
        <v>process 4c x 0c</v>
      </c>
      <c r="I195" s="83"/>
      <c r="J195" s="85" t="s">
        <v>111</v>
      </c>
      <c r="K195" s="85"/>
      <c r="L195" s="85"/>
      <c r="M195" s="4"/>
      <c r="N195" s="159" t="str">
        <f>E11</f>
        <v>Normal Ink *</v>
      </c>
      <c r="O195" s="4"/>
      <c r="S195" s="4" t="s">
        <v>144</v>
      </c>
      <c r="T195" s="158">
        <v>1</v>
      </c>
      <c r="V195" s="4" t="s">
        <v>144</v>
      </c>
      <c r="W195" s="4">
        <v>60</v>
      </c>
      <c r="X195" s="4">
        <v>150</v>
      </c>
      <c r="Z195" s="12" t="s">
        <v>144</v>
      </c>
      <c r="AA195" s="134"/>
    </row>
    <row r="196" spans="2:27" ht="39" x14ac:dyDescent="0.25">
      <c r="B196" s="143" t="s">
        <v>0</v>
      </c>
      <c r="C196" s="100">
        <f>$C$37/1000</f>
        <v>0.39</v>
      </c>
      <c r="D196" s="100">
        <f>$D$37/1000</f>
        <v>0.15</v>
      </c>
      <c r="E196" s="100">
        <f>$E$37/1000</f>
        <v>0.1</v>
      </c>
      <c r="F196" s="101">
        <f>D196+E196+0.035</f>
        <v>0.28500000000000003</v>
      </c>
      <c r="G196" s="101">
        <f>C196+0.7*(E196)+0.055</f>
        <v>0.51500000000000001</v>
      </c>
      <c r="H196" s="146" t="str">
        <f>H96</f>
        <v>process 4c x 0c</v>
      </c>
      <c r="I196" s="121">
        <f>I58</f>
        <v>1000</v>
      </c>
      <c r="J196" s="122" t="b">
        <f>OR(AND(F196&gt;=0.318,F196&lt;=0.698,G196&gt;=0.533,G196&lt;=1.025),AND(F196&gt;=0.533,F196&lt;=1.025,G196&gt;=0.318,G196&lt;=0.698))</f>
        <v>0</v>
      </c>
      <c r="K196" s="123">
        <f>IF(J196,0.5,0)</f>
        <v>0</v>
      </c>
      <c r="L196" s="69">
        <f>IF(J196=TRUE,I196/K196,0)</f>
        <v>0</v>
      </c>
      <c r="M196" s="156">
        <f>VLOOKUP(H$177,S$185:T$197,2,FALSE)</f>
        <v>0</v>
      </c>
      <c r="N196" s="4">
        <f>IF($N$177=$N$172,0,IF($N$177=$N$173,60,IF($N$177=$N$174,150,"")))</f>
        <v>60</v>
      </c>
      <c r="O196" s="134">
        <f>F196*G196*1550*L196*M196*0.000002</f>
        <v>0</v>
      </c>
      <c r="P196" s="4">
        <f>IF(AND(O196&gt;=0.01,O196&lt;=2),2,CEILING(O196,1))</f>
        <v>0</v>
      </c>
      <c r="Q196" s="4">
        <f>N196*P196</f>
        <v>0</v>
      </c>
      <c r="R196" s="18"/>
      <c r="S196" s="160" t="s">
        <v>146</v>
      </c>
      <c r="T196" s="158">
        <v>0.33</v>
      </c>
      <c r="V196" s="4" t="s">
        <v>146</v>
      </c>
      <c r="W196" s="4">
        <v>60</v>
      </c>
      <c r="X196" s="4">
        <v>150</v>
      </c>
      <c r="Z196" s="161" t="s">
        <v>146</v>
      </c>
      <c r="AA196" s="134"/>
    </row>
    <row r="197" spans="2:27" ht="39" x14ac:dyDescent="0.25">
      <c r="B197" s="82"/>
      <c r="C197" s="100">
        <f>$C$37/1000</f>
        <v>0.39</v>
      </c>
      <c r="D197" s="100">
        <f>$D$37/1000</f>
        <v>0.15</v>
      </c>
      <c r="E197" s="100">
        <f>$E$37/1000</f>
        <v>0.1</v>
      </c>
      <c r="F197" s="101">
        <f>D197+E197+0.035</f>
        <v>0.28500000000000003</v>
      </c>
      <c r="G197" s="101">
        <f>C197+0.7*(E197)+0.055</f>
        <v>0.51500000000000001</v>
      </c>
      <c r="H197" s="146" t="str">
        <f>H96</f>
        <v>process 4c x 0c</v>
      </c>
      <c r="I197" s="121">
        <f>I59</f>
        <v>2000</v>
      </c>
      <c r="J197" s="122" t="b">
        <f>OR(AND(F197&gt;=0.318,F197&lt;=0.698,G197&gt;=0.533,G197&lt;=1.025),AND(F197&gt;=0.533,F197&lt;=1.025,G197&gt;=0.318,G197&lt;=0.698))</f>
        <v>0</v>
      </c>
      <c r="K197" s="123">
        <f>IF(J197,0.5,0)</f>
        <v>0</v>
      </c>
      <c r="L197" s="69">
        <f>IF(J197=TRUE,I197/K197,0)</f>
        <v>0</v>
      </c>
      <c r="M197" s="156">
        <f>VLOOKUP(H$177,S$185:T$197,2,FALSE)</f>
        <v>0</v>
      </c>
      <c r="N197" s="4">
        <f>IF($N$177=$N$172,0,IF($N$177=$N$173,60,IF($N$177=$N$174,150,"")))</f>
        <v>60</v>
      </c>
      <c r="O197" s="134">
        <f>F197*G197*1550*L197*M197*0.000002</f>
        <v>0</v>
      </c>
      <c r="P197" s="4">
        <f>IF(AND(O197&gt;=0.01,O197&lt;=2),2,CEILING(O197,1))</f>
        <v>0</v>
      </c>
      <c r="Q197" s="4">
        <f>N197*P197</f>
        <v>0</v>
      </c>
      <c r="R197" s="18"/>
      <c r="S197" s="160" t="s">
        <v>148</v>
      </c>
      <c r="T197" s="158">
        <v>0.33</v>
      </c>
      <c r="V197" s="4" t="s">
        <v>148</v>
      </c>
      <c r="W197" s="4">
        <v>60</v>
      </c>
      <c r="X197" s="4">
        <v>150</v>
      </c>
      <c r="Z197" s="161" t="s">
        <v>148</v>
      </c>
      <c r="AA197" s="134"/>
    </row>
    <row r="198" spans="2:27" x14ac:dyDescent="0.25">
      <c r="B198" s="82"/>
      <c r="C198" s="100">
        <f>$C$37/1000</f>
        <v>0.39</v>
      </c>
      <c r="D198" s="100">
        <f>$D$37/1000</f>
        <v>0.15</v>
      </c>
      <c r="E198" s="100">
        <f>$E$37/1000</f>
        <v>0.1</v>
      </c>
      <c r="F198" s="101">
        <f>D198+E198+0.035</f>
        <v>0.28500000000000003</v>
      </c>
      <c r="G198" s="101">
        <f>C198+0.7*(E198)+0.055</f>
        <v>0.51500000000000001</v>
      </c>
      <c r="H198" s="146" t="str">
        <f>H96</f>
        <v>process 4c x 0c</v>
      </c>
      <c r="I198" s="121">
        <f>I60</f>
        <v>3000</v>
      </c>
      <c r="J198" s="122" t="b">
        <f>OR(AND(F198&gt;=0.318,F198&lt;=0.698,G198&gt;=0.533,G198&lt;=1.025),AND(F198&gt;=0.533,F198&lt;=1.025,G198&gt;=0.318,G198&lt;=0.698))</f>
        <v>0</v>
      </c>
      <c r="K198" s="123">
        <f>IF(J198,0.5,0)</f>
        <v>0</v>
      </c>
      <c r="L198" s="69">
        <f>IF(J198=TRUE,I198/K198,0)</f>
        <v>0</v>
      </c>
      <c r="M198" s="156">
        <f>VLOOKUP(H$177,S$185:T$197,2,FALSE)</f>
        <v>0</v>
      </c>
      <c r="N198" s="4">
        <f>IF($N$177=$N$172,0,IF($N$177=$N$173,60,IF($N$177=$N$174,150,"")))</f>
        <v>60</v>
      </c>
      <c r="O198" s="134">
        <f>F198*G198*1550*L198*M198*0.000002</f>
        <v>0</v>
      </c>
      <c r="P198" s="4">
        <f>IF(AND(O198&gt;=0.01,O198&lt;=2),2,CEILING(O198,1))</f>
        <v>0</v>
      </c>
      <c r="Q198" s="4">
        <f>N198*P198</f>
        <v>0</v>
      </c>
    </row>
    <row r="199" spans="2:27" x14ac:dyDescent="0.25">
      <c r="B199" s="82"/>
      <c r="C199" s="100">
        <f>$C$37/1000</f>
        <v>0.39</v>
      </c>
      <c r="D199" s="100">
        <f>$D$37/1000</f>
        <v>0.15</v>
      </c>
      <c r="E199" s="100">
        <f>$E$37/1000</f>
        <v>0.1</v>
      </c>
      <c r="F199" s="101">
        <f>D199+E199+0.035</f>
        <v>0.28500000000000003</v>
      </c>
      <c r="G199" s="101">
        <f>C199+0.7*(E199)+0.055</f>
        <v>0.51500000000000001</v>
      </c>
      <c r="H199" s="146" t="str">
        <f>H96</f>
        <v>process 4c x 0c</v>
      </c>
      <c r="I199" s="121">
        <f>I61</f>
        <v>4000</v>
      </c>
      <c r="J199" s="122" t="b">
        <f>OR(AND(F199&gt;=0.318,F199&lt;=0.698,G199&gt;=0.533,G199&lt;=1.025),AND(F199&gt;=0.533,F199&lt;=1.025,G199&gt;=0.318,G199&lt;=0.698))</f>
        <v>0</v>
      </c>
      <c r="K199" s="123">
        <f>IF(J199,0.5,0)</f>
        <v>0</v>
      </c>
      <c r="L199" s="69">
        <f>IF(J199=TRUE,I199/K199,0)</f>
        <v>0</v>
      </c>
      <c r="M199" s="156">
        <f>VLOOKUP(H$177,S$185:T$197,2,FALSE)</f>
        <v>0</v>
      </c>
      <c r="N199" s="4">
        <f>IF($N$177=$N$172,0,IF($N$177=$N$173,60,IF($N$177=$N$174,150,"")))</f>
        <v>60</v>
      </c>
      <c r="O199" s="134">
        <f>F199*G199*1550*L199*M199*0.000002</f>
        <v>0</v>
      </c>
      <c r="P199" s="4">
        <f>IF(AND(O199&gt;=0.01,O199&lt;=2),2,CEILING(O199,1))</f>
        <v>0</v>
      </c>
      <c r="Q199" s="4">
        <f>N199*P199</f>
        <v>0</v>
      </c>
    </row>
    <row r="201" spans="2:27" ht="15.75" thickBot="1" x14ac:dyDescent="0.3"/>
    <row r="202" spans="2:27" ht="15.75" thickBot="1" x14ac:dyDescent="0.3">
      <c r="B202" s="82" t="s">
        <v>0</v>
      </c>
      <c r="C202" s="83">
        <f>C175</f>
        <v>390</v>
      </c>
      <c r="D202" s="115">
        <f>D175</f>
        <v>150</v>
      </c>
      <c r="E202" s="83">
        <f>E175</f>
        <v>100</v>
      </c>
      <c r="F202" s="116">
        <f>C202+0.5*E202+23</f>
        <v>463</v>
      </c>
      <c r="G202" s="117">
        <v>113</v>
      </c>
      <c r="H202" s="126">
        <v>358.77499999999998</v>
      </c>
      <c r="I202" s="82"/>
    </row>
    <row r="203" spans="2:27" ht="30" x14ac:dyDescent="0.25">
      <c r="B203" s="82"/>
      <c r="C203" s="82"/>
      <c r="D203" s="82"/>
      <c r="E203" s="82"/>
      <c r="F203" s="229" t="s">
        <v>119</v>
      </c>
      <c r="G203" s="231"/>
      <c r="H203" s="83" t="s">
        <v>151</v>
      </c>
      <c r="I203" s="86" t="s">
        <v>86</v>
      </c>
      <c r="J203" s="87" t="s">
        <v>87</v>
      </c>
      <c r="K203" s="4" t="s">
        <v>88</v>
      </c>
      <c r="L203" s="93" t="s">
        <v>152</v>
      </c>
      <c r="M203" s="153" t="s">
        <v>175</v>
      </c>
      <c r="N203" s="154" t="s">
        <v>166</v>
      </c>
      <c r="O203" s="93" t="s">
        <v>176</v>
      </c>
      <c r="P203" s="93" t="s">
        <v>168</v>
      </c>
      <c r="Q203" s="93" t="s">
        <v>169</v>
      </c>
      <c r="R203" s="218"/>
    </row>
    <row r="204" spans="2:27" x14ac:dyDescent="0.25">
      <c r="B204" s="82"/>
      <c r="C204" s="83" t="s">
        <v>5</v>
      </c>
      <c r="D204" s="83" t="s">
        <v>6</v>
      </c>
      <c r="E204" s="83" t="s">
        <v>7</v>
      </c>
      <c r="F204" s="83" t="s">
        <v>109</v>
      </c>
      <c r="G204" s="83" t="s">
        <v>121</v>
      </c>
      <c r="H204" s="146" t="str">
        <f>H96</f>
        <v>process 4c x 0c</v>
      </c>
      <c r="I204" s="83"/>
      <c r="J204" s="85" t="s">
        <v>111</v>
      </c>
      <c r="L204" s="85"/>
      <c r="M204" s="4"/>
      <c r="N204" s="155" t="str">
        <f>E11</f>
        <v>Normal Ink *</v>
      </c>
      <c r="O204" s="4"/>
      <c r="P204" s="4"/>
    </row>
    <row r="205" spans="2:27" x14ac:dyDescent="0.25">
      <c r="B205" s="143" t="s">
        <v>0</v>
      </c>
      <c r="C205" s="100">
        <f>C202/1000</f>
        <v>0.39</v>
      </c>
      <c r="D205" s="100">
        <f>D202/1000</f>
        <v>0.15</v>
      </c>
      <c r="E205" s="100">
        <f>E202/1000</f>
        <v>0.1</v>
      </c>
      <c r="F205" s="101">
        <f>2*(D205+E205)+0.035</f>
        <v>0.53500000000000003</v>
      </c>
      <c r="G205" s="101">
        <f>2*(C205+0.7*(E205)+0.055)</f>
        <v>1.03</v>
      </c>
      <c r="H205" s="144" t="str">
        <f>H96</f>
        <v>process 4c x 0c</v>
      </c>
      <c r="I205" s="121">
        <f>I67</f>
        <v>1000</v>
      </c>
      <c r="J205" s="104" t="b">
        <f>OR(AND(F205&gt;=0.3,F205&lt;=0.698,G205&gt;=0.42,G205&lt;=1.025),AND(F205&gt;=0.42,F205&lt;=1.025,G205&gt;=0.3,G205&lt;=0.698))</f>
        <v>0</v>
      </c>
      <c r="K205" s="104">
        <f>IF(J205,2,0)</f>
        <v>0</v>
      </c>
      <c r="L205" s="69">
        <f>IF(J205=TRUE,I205/K205,0)</f>
        <v>0</v>
      </c>
      <c r="M205" s="156">
        <f>VLOOKUP(H$177,S$185:T$197,2,FALSE)</f>
        <v>0</v>
      </c>
      <c r="N205" s="4">
        <f>IF($N$177=$N$172,0,IF($N$177=$N$173,60,IF($N$177=$N$174,150,"")))</f>
        <v>60</v>
      </c>
      <c r="O205" s="134">
        <f>F205*G205*1550*L205*M205*0.000002</f>
        <v>0</v>
      </c>
      <c r="P205" s="4">
        <f>IF(AND(O205&gt;=0.01,O205&lt;=2),2,CEILING(O205,1))</f>
        <v>0</v>
      </c>
      <c r="Q205" s="4">
        <f>N205*P205</f>
        <v>0</v>
      </c>
    </row>
    <row r="206" spans="2:27" x14ac:dyDescent="0.25">
      <c r="B206" s="82"/>
      <c r="C206" s="83">
        <f>C205</f>
        <v>0.39</v>
      </c>
      <c r="D206" s="83">
        <f>D205</f>
        <v>0.15</v>
      </c>
      <c r="E206" s="83">
        <f>E205</f>
        <v>0.1</v>
      </c>
      <c r="F206" s="101">
        <f>2*(D206+E206)+0.035</f>
        <v>0.53500000000000003</v>
      </c>
      <c r="G206" s="101">
        <f>2*(C206+0.7*(E206)+0.055)</f>
        <v>1.03</v>
      </c>
      <c r="H206" s="144" t="str">
        <f>H96</f>
        <v>process 4c x 0c</v>
      </c>
      <c r="I206" s="121">
        <f>I68</f>
        <v>2000</v>
      </c>
      <c r="J206" s="104" t="b">
        <f>OR(AND(F206&gt;=0.3,F206&lt;=0.698,G206&gt;=0.42,G206&lt;=1.025),AND(F206&gt;=0.42,F206&lt;=1.025,G206&gt;=0.3,G206&lt;=0.698))</f>
        <v>0</v>
      </c>
      <c r="K206" s="104">
        <f>IF(J206,2,0)</f>
        <v>0</v>
      </c>
      <c r="L206" s="69">
        <f>IF(J206=TRUE,I206/K206,0)</f>
        <v>0</v>
      </c>
      <c r="M206" s="156">
        <f>VLOOKUP(H$177,S$185:T$197,2,FALSE)</f>
        <v>0</v>
      </c>
      <c r="N206" s="4">
        <f>IF($N$177=$N$172,0,IF($N$177=$N$173,60,IF($N$177=$N$174,150,"")))</f>
        <v>60</v>
      </c>
      <c r="O206" s="134">
        <f>F206*G206*1550*L206*M206*0.000002</f>
        <v>0</v>
      </c>
      <c r="P206" s="4">
        <f>IF(AND(O206&gt;=0.01,O206&lt;=2),2,CEILING(O206,1))</f>
        <v>0</v>
      </c>
      <c r="Q206" s="4">
        <f>N206*P206</f>
        <v>0</v>
      </c>
    </row>
    <row r="207" spans="2:27" x14ac:dyDescent="0.25">
      <c r="B207" s="82"/>
      <c r="C207" s="83">
        <f t="shared" ref="C207:E208" si="13">C205</f>
        <v>0.39</v>
      </c>
      <c r="D207" s="83">
        <f t="shared" si="13"/>
        <v>0.15</v>
      </c>
      <c r="E207" s="83">
        <f t="shared" si="13"/>
        <v>0.1</v>
      </c>
      <c r="F207" s="101">
        <f>2*(D207+E207)+0.035</f>
        <v>0.53500000000000003</v>
      </c>
      <c r="G207" s="101">
        <f>2*(C207+0.7*(E207)+0.055)</f>
        <v>1.03</v>
      </c>
      <c r="H207" s="144" t="str">
        <f>H96</f>
        <v>process 4c x 0c</v>
      </c>
      <c r="I207" s="121">
        <f>I69</f>
        <v>3000</v>
      </c>
      <c r="J207" s="104" t="b">
        <f>OR(AND(F207&gt;=0.3,F207&lt;=0.698,G207&gt;=0.42,G207&lt;=1.025),AND(F207&gt;=0.42,F207&lt;=1.025,G207&gt;=0.3,G207&lt;=0.698))</f>
        <v>0</v>
      </c>
      <c r="K207" s="104">
        <f>IF(J207,2,0)</f>
        <v>0</v>
      </c>
      <c r="L207" s="69">
        <f>IF(J207=TRUE,I207/K207,0)</f>
        <v>0</v>
      </c>
      <c r="M207" s="156">
        <f>VLOOKUP(H$177,S$185:T$197,2,FALSE)</f>
        <v>0</v>
      </c>
      <c r="N207" s="4">
        <f>IF($N$177=$N$172,0,IF($N$177=$N$173,60,IF($N$177=$N$174,150,"")))</f>
        <v>60</v>
      </c>
      <c r="O207" s="134">
        <f>F207*G207*1550*L207*M207*0.000002</f>
        <v>0</v>
      </c>
      <c r="P207" s="4">
        <f>IF(AND(O207&gt;=0.01,O207&lt;=2),2,CEILING(O207,1))</f>
        <v>0</v>
      </c>
      <c r="Q207" s="4">
        <f>N207*P207</f>
        <v>0</v>
      </c>
    </row>
    <row r="208" spans="2:27" x14ac:dyDescent="0.25">
      <c r="B208" s="82"/>
      <c r="C208" s="83">
        <f t="shared" si="13"/>
        <v>0.39</v>
      </c>
      <c r="D208" s="83">
        <f t="shared" si="13"/>
        <v>0.15</v>
      </c>
      <c r="E208" s="83">
        <f t="shared" si="13"/>
        <v>0.1</v>
      </c>
      <c r="F208" s="101">
        <f>2*(D208+E208)+0.035</f>
        <v>0.53500000000000003</v>
      </c>
      <c r="G208" s="101">
        <f>2*(C208+0.7*(E208)+0.055)</f>
        <v>1.03</v>
      </c>
      <c r="H208" s="144" t="str">
        <f>H96</f>
        <v>process 4c x 0c</v>
      </c>
      <c r="I208" s="121">
        <f>I70</f>
        <v>4000</v>
      </c>
      <c r="J208" s="104" t="b">
        <f>OR(AND(F208&gt;=0.3,F208&lt;=0.698,G208&gt;=0.42,G208&lt;=1.025),AND(F208&gt;=0.42,F208&lt;=1.025,G208&gt;=0.3,G208&lt;=0.698))</f>
        <v>0</v>
      </c>
      <c r="K208" s="104">
        <f>IF(J208,2,0)</f>
        <v>0</v>
      </c>
      <c r="L208" s="69">
        <f>IF(J208=TRUE,I208/K208,0)</f>
        <v>0</v>
      </c>
      <c r="M208" s="156">
        <f>VLOOKUP(H$177,S$185:T$197,2,FALSE)</f>
        <v>0</v>
      </c>
      <c r="N208" s="4">
        <f>IF($N$177=$N$172,0,IF($N$177=$N$173,60,IF($N$177=$N$174,150,"")))</f>
        <v>60</v>
      </c>
      <c r="O208" s="134">
        <f>F208*G208*1550*L208*M208*0.000002</f>
        <v>0</v>
      </c>
      <c r="P208" s="4">
        <f>IF(AND(O208&gt;=0.01,O208&lt;=2),2,CEILING(O208,1))</f>
        <v>0</v>
      </c>
      <c r="Q208" s="4">
        <f>N208*P208</f>
        <v>0</v>
      </c>
    </row>
    <row r="211" spans="1:25" s="80" customFormat="1" ht="23.45" customHeight="1" x14ac:dyDescent="0.25">
      <c r="A211" s="226" t="s">
        <v>177</v>
      </c>
      <c r="B211" s="226"/>
      <c r="C211" s="226"/>
      <c r="D211" s="226"/>
      <c r="E211" s="226"/>
      <c r="Q211" s="226" t="s">
        <v>177</v>
      </c>
      <c r="R211" s="226"/>
      <c r="S211" s="226"/>
      <c r="T211" s="226"/>
      <c r="U211" s="226"/>
    </row>
    <row r="213" spans="1:25" x14ac:dyDescent="0.25">
      <c r="N213" s="50" t="s">
        <v>42</v>
      </c>
      <c r="Q213" s="241" t="s">
        <v>178</v>
      </c>
      <c r="R213" s="242"/>
      <c r="S213" s="242"/>
      <c r="T213" s="242"/>
      <c r="U213" s="242"/>
      <c r="V213" s="242"/>
      <c r="W213" s="242"/>
      <c r="X213" s="242"/>
      <c r="Y213" s="243"/>
    </row>
    <row r="214" spans="1:25" ht="18.75" x14ac:dyDescent="0.3">
      <c r="B214" s="152" t="s">
        <v>179</v>
      </c>
      <c r="C214" s="152"/>
      <c r="D214" s="152"/>
      <c r="E214" s="152"/>
      <c r="F214" s="152"/>
      <c r="G214" s="152"/>
      <c r="H214" s="152"/>
      <c r="N214" s="50" t="s">
        <v>180</v>
      </c>
      <c r="Q214" s="244"/>
      <c r="R214" s="245"/>
      <c r="S214" s="245"/>
      <c r="T214" s="245"/>
      <c r="U214" s="245"/>
      <c r="V214" s="245"/>
      <c r="W214" s="245"/>
      <c r="X214" s="245"/>
      <c r="Y214" s="246"/>
    </row>
    <row r="215" spans="1:25" ht="15.75" thickBot="1" x14ac:dyDescent="0.3">
      <c r="N215" s="50" t="s">
        <v>181</v>
      </c>
    </row>
    <row r="216" spans="1:25" ht="15.75" thickBot="1" x14ac:dyDescent="0.3">
      <c r="B216" s="82" t="s">
        <v>0</v>
      </c>
      <c r="C216" s="83">
        <f>C37</f>
        <v>390</v>
      </c>
      <c r="D216" s="115">
        <f>D37</f>
        <v>150</v>
      </c>
      <c r="E216" s="83">
        <f>E37</f>
        <v>100</v>
      </c>
      <c r="F216" s="116">
        <f>C216+0.5*E216+23</f>
        <v>463</v>
      </c>
      <c r="G216" s="117">
        <v>113</v>
      </c>
      <c r="H216" s="126">
        <v>358.77499999999998</v>
      </c>
      <c r="I216" s="82"/>
      <c r="S216" s="247" t="s">
        <v>182</v>
      </c>
      <c r="T216" s="236" t="s">
        <v>183</v>
      </c>
    </row>
    <row r="217" spans="1:25" ht="30.75" thickBot="1" x14ac:dyDescent="0.3">
      <c r="B217" s="82"/>
      <c r="C217" s="82"/>
      <c r="D217" s="82"/>
      <c r="E217" s="82"/>
      <c r="F217" s="227" t="s">
        <v>85</v>
      </c>
      <c r="G217" s="228"/>
      <c r="H217" s="162" t="s">
        <v>184</v>
      </c>
      <c r="I217" s="86" t="s">
        <v>86</v>
      </c>
      <c r="J217" s="87" t="s">
        <v>87</v>
      </c>
      <c r="K217" s="4" t="s">
        <v>88</v>
      </c>
      <c r="L217" s="93" t="s">
        <v>152</v>
      </c>
      <c r="M217" s="153" t="s">
        <v>185</v>
      </c>
      <c r="N217" s="154" t="s">
        <v>186</v>
      </c>
      <c r="O217" s="93" t="s">
        <v>187</v>
      </c>
      <c r="Q217" s="163" t="s">
        <v>188</v>
      </c>
      <c r="S217" s="248"/>
      <c r="T217" s="238"/>
    </row>
    <row r="218" spans="1:25" ht="15.75" thickBot="1" x14ac:dyDescent="0.3">
      <c r="B218" s="82"/>
      <c r="C218" s="83" t="s">
        <v>5</v>
      </c>
      <c r="D218" s="83" t="s">
        <v>6</v>
      </c>
      <c r="E218" s="83" t="s">
        <v>7</v>
      </c>
      <c r="F218" s="83" t="s">
        <v>109</v>
      </c>
      <c r="G218" s="83" t="s">
        <v>110</v>
      </c>
      <c r="H218" s="164" t="str">
        <f>E12</f>
        <v xml:space="preserve">Plain no protection </v>
      </c>
      <c r="I218" s="83"/>
      <c r="J218" s="85" t="s">
        <v>111</v>
      </c>
      <c r="L218" s="85"/>
      <c r="M218" s="4" t="s">
        <v>189</v>
      </c>
      <c r="N218" s="165"/>
      <c r="O218" s="4"/>
      <c r="Y218" s="24"/>
    </row>
    <row r="219" spans="1:25" x14ac:dyDescent="0.25">
      <c r="B219" s="143" t="s">
        <v>0</v>
      </c>
      <c r="C219" s="100">
        <f>$C$37/1000</f>
        <v>0.39</v>
      </c>
      <c r="D219" s="100">
        <f>$D$37/1000</f>
        <v>0.15</v>
      </c>
      <c r="E219" s="100">
        <f>$E$37/1000</f>
        <v>0.1</v>
      </c>
      <c r="F219" s="101">
        <f>2*(D219+E219)+0.035</f>
        <v>0.53500000000000003</v>
      </c>
      <c r="G219" s="101">
        <f>C219+0.7*(E219)+0.055</f>
        <v>0.51500000000000001</v>
      </c>
      <c r="H219" s="83" t="str">
        <f>H218</f>
        <v xml:space="preserve">Plain no protection </v>
      </c>
      <c r="I219" s="121">
        <f>I40</f>
        <v>1000</v>
      </c>
      <c r="J219" s="104" t="b">
        <f>AND(F219&gt;=0.533,F219&lt;=1.025,G219&gt;=0.318,G219&lt;=0.698)</f>
        <v>1</v>
      </c>
      <c r="K219" s="104">
        <f>IF(J219,1,0)</f>
        <v>1</v>
      </c>
      <c r="L219" s="69">
        <f>L97</f>
        <v>1000</v>
      </c>
      <c r="M219" s="166">
        <f>IF(J219=FALSE,0,IF(S219&lt;=100,100,CEILING(S219,1)))</f>
        <v>100</v>
      </c>
      <c r="N219" s="4">
        <f>IF(J219=FALSE,0,IF(T219&lt;=100,100,CEILING(T219,1)))</f>
        <v>100</v>
      </c>
      <c r="O219" s="13">
        <f>IF(TRIM(H219)="Plain no protection",0,(IF(J219=FALSE,0,IF(S219&lt;=100,100,CEILING(S219,1)))+IF(J219=FALSE,0,IF(T219&lt;=100,100,CEILING(T219,1))))/2)</f>
        <v>0</v>
      </c>
      <c r="Q219" s="167">
        <f>SUM(O219,O228,O237,O246)/MAX(1,SUM((O219&gt;0)+(O228&gt;0)+(O237&gt;0)+(O246&gt;0)))</f>
        <v>0</v>
      </c>
      <c r="S219" s="168">
        <f>(F219*G219*L219*1550*0.0000015*40)+(L219*0.03)</f>
        <v>55.623825000000004</v>
      </c>
      <c r="T219" s="168">
        <f>F219*G219*1550*0.00008*L219</f>
        <v>34.165100000000002</v>
      </c>
    </row>
    <row r="220" spans="1:25" x14ac:dyDescent="0.25">
      <c r="B220" s="82"/>
      <c r="C220" s="100">
        <f>$C$37/1000</f>
        <v>0.39</v>
      </c>
      <c r="D220" s="100">
        <f>$D$37/1000</f>
        <v>0.15</v>
      </c>
      <c r="E220" s="100">
        <f>$E$37/1000</f>
        <v>0.1</v>
      </c>
      <c r="F220" s="101">
        <f>2*(D220+E220)+0.035</f>
        <v>0.53500000000000003</v>
      </c>
      <c r="G220" s="101">
        <f>C220+0.7*(E220)+0.055</f>
        <v>0.51500000000000001</v>
      </c>
      <c r="H220" s="83" t="str">
        <f>H218</f>
        <v xml:space="preserve">Plain no protection </v>
      </c>
      <c r="I220" s="121">
        <f>I41</f>
        <v>2000</v>
      </c>
      <c r="J220" s="104" t="b">
        <f>AND(F220&gt;=0.533,F220&lt;=1.025,G220&gt;=0.318,G220&lt;=0.698)</f>
        <v>1</v>
      </c>
      <c r="K220" s="104">
        <f>IF(J220,1,0)</f>
        <v>1</v>
      </c>
      <c r="L220" s="69">
        <f>L98</f>
        <v>2000</v>
      </c>
      <c r="M220" s="169">
        <f>IF(J220=FALSE,0,IF(S220&lt;=100,100,CEILING(S220,1)))</f>
        <v>112</v>
      </c>
      <c r="N220" s="4">
        <f>IF(J220=FALSE,0,IF(T220&lt;=100,100,CEILING(T220,1)))</f>
        <v>100</v>
      </c>
      <c r="O220" s="13">
        <f>IF(TRIM(H220)="Plain no protection",0,(IF(J220=FALSE,0,IF(S220&lt;=100,100,CEILING(S220,1)))+IF(J220=FALSE,0,IF(T220&lt;=100,100,CEILING(T220,1))))/2)</f>
        <v>0</v>
      </c>
      <c r="Q220" s="170">
        <f>SUM(O220,O229,O238,O247)/MAX(1,SUM((O220&gt;0)+(O229&gt;0)+(O238&gt;0)+(O247&gt;0)))</f>
        <v>0</v>
      </c>
      <c r="S220" s="168">
        <f>(F220*G220*L220*1550*0.0000015*40)+(L220*0.03)</f>
        <v>111.24765000000001</v>
      </c>
      <c r="T220" s="168">
        <f>F220*G220*1550*0.00008*L220</f>
        <v>68.330200000000005</v>
      </c>
    </row>
    <row r="221" spans="1:25" x14ac:dyDescent="0.25">
      <c r="B221" s="82"/>
      <c r="C221" s="100">
        <f>$C$37/1000</f>
        <v>0.39</v>
      </c>
      <c r="D221" s="100">
        <f>$D$37/1000</f>
        <v>0.15</v>
      </c>
      <c r="E221" s="100">
        <f>$E$37/1000</f>
        <v>0.1</v>
      </c>
      <c r="F221" s="101">
        <f>2*(D221+E221)+0.035</f>
        <v>0.53500000000000003</v>
      </c>
      <c r="G221" s="101">
        <f>C221+0.7*(E221)+0.055</f>
        <v>0.51500000000000001</v>
      </c>
      <c r="H221" s="83" t="str">
        <f>H218</f>
        <v xml:space="preserve">Plain no protection </v>
      </c>
      <c r="I221" s="121">
        <f>I42</f>
        <v>3000</v>
      </c>
      <c r="J221" s="104" t="b">
        <f>AND(F221&gt;=0.533,F221&lt;=1.025,G221&gt;=0.318,G221&lt;=0.698)</f>
        <v>1</v>
      </c>
      <c r="K221" s="104">
        <f>IF(J221,1,0)</f>
        <v>1</v>
      </c>
      <c r="L221" s="69">
        <f>L99</f>
        <v>3000</v>
      </c>
      <c r="M221" s="169">
        <f>IF(J221=FALSE,0,IF(S221&lt;=100,100,CEILING(S221,1)))</f>
        <v>167</v>
      </c>
      <c r="N221" s="4">
        <f>IF(J221=FALSE,0,IF(T221&lt;=100,100,CEILING(T221,1)))</f>
        <v>103</v>
      </c>
      <c r="O221" s="13">
        <f>IF(TRIM(H221)="Plain no protection",0,(IF(J221=FALSE,0,IF(S221&lt;=100,100,CEILING(S221,1)))+IF(J221=FALSE,0,IF(T221&lt;=100,100,CEILING(T221,1))))/2)</f>
        <v>0</v>
      </c>
      <c r="Q221" s="170">
        <f>SUM(O221,O230,O239,O248)/MAX(1,SUM((O221&gt;0)+(O230&gt;0)+(O239&gt;0)+(O248&gt;0)))</f>
        <v>0</v>
      </c>
      <c r="S221" s="168">
        <f>(F221*G221*L221*1550*0.0000015*40)+(L221*0.03)</f>
        <v>166.871475</v>
      </c>
      <c r="T221" s="168">
        <f>F221*G221*1550*0.00008*L221</f>
        <v>102.49530000000001</v>
      </c>
    </row>
    <row r="222" spans="1:25" ht="15.75" thickBot="1" x14ac:dyDescent="0.3">
      <c r="B222" s="82"/>
      <c r="C222" s="100">
        <f>$C$37/1000</f>
        <v>0.39</v>
      </c>
      <c r="D222" s="100">
        <f>$D$37/1000</f>
        <v>0.15</v>
      </c>
      <c r="E222" s="100">
        <f>$E$37/1000</f>
        <v>0.1</v>
      </c>
      <c r="F222" s="101">
        <f>2*(D222+E222)+0.035</f>
        <v>0.53500000000000003</v>
      </c>
      <c r="G222" s="101">
        <f>C222+0.7*(E222)+0.055</f>
        <v>0.51500000000000001</v>
      </c>
      <c r="H222" s="83" t="str">
        <f>H218</f>
        <v xml:space="preserve">Plain no protection </v>
      </c>
      <c r="I222" s="121">
        <f>I43</f>
        <v>4000</v>
      </c>
      <c r="J222" s="104" t="b">
        <f>AND(F222&gt;=0.533,F222&lt;=1.025,G222&gt;=0.318,G222&lt;=0.698)</f>
        <v>1</v>
      </c>
      <c r="K222" s="104">
        <f>IF(J222,1,0)</f>
        <v>1</v>
      </c>
      <c r="L222" s="69">
        <f>L100</f>
        <v>4000</v>
      </c>
      <c r="M222" s="169">
        <f>IF(J222=FALSE,0,IF(S222&lt;=100,100,CEILING(S222,1)))</f>
        <v>223</v>
      </c>
      <c r="N222" s="4">
        <f>IF(J222=FALSE,0,IF(T222&lt;=100,100,CEILING(T222,1)))</f>
        <v>137</v>
      </c>
      <c r="O222" s="13">
        <f>IF(TRIM(H222)="Plain no protection",0,(IF(J222=FALSE,0,IF(S222&lt;=100,100,CEILING(S222,1)))+IF(J222=FALSE,0,IF(T222&lt;=100,100,CEILING(T222,1))))/2)</f>
        <v>0</v>
      </c>
      <c r="Q222" s="171">
        <f>SUM(O222,O231,O240,O249)/MAX(1,SUM((O222&gt;0)+(O231&gt;0)+(O240&gt;0)+(O249&gt;0)))</f>
        <v>0</v>
      </c>
      <c r="S222" s="168">
        <f>(F222*G222*L222*1550*0.0000015*40)+(L222*0.03)</f>
        <v>222.49530000000001</v>
      </c>
      <c r="T222" s="168">
        <f>F222*G222*1550*0.00008*L222</f>
        <v>136.66040000000001</v>
      </c>
    </row>
    <row r="224" spans="1:25" ht="15.75" thickBot="1" x14ac:dyDescent="0.3">
      <c r="Y224" s="24"/>
    </row>
    <row r="225" spans="2:20" ht="15.75" thickBot="1" x14ac:dyDescent="0.3">
      <c r="B225" s="82" t="s">
        <v>0</v>
      </c>
      <c r="C225" s="83">
        <f>C216</f>
        <v>390</v>
      </c>
      <c r="D225" s="115">
        <f>D216</f>
        <v>150</v>
      </c>
      <c r="E225" s="83">
        <f>E216</f>
        <v>100</v>
      </c>
      <c r="F225" s="116">
        <f>C225+0.5*E225+23</f>
        <v>463</v>
      </c>
      <c r="G225" s="117">
        <v>113</v>
      </c>
      <c r="H225" s="118">
        <v>358.77499999999998</v>
      </c>
      <c r="I225" s="82"/>
    </row>
    <row r="226" spans="2:20" ht="30" x14ac:dyDescent="0.25">
      <c r="B226" s="82"/>
      <c r="C226" s="82"/>
      <c r="D226" s="82"/>
      <c r="E226" s="82"/>
      <c r="F226" s="229" t="s">
        <v>112</v>
      </c>
      <c r="G226" s="230"/>
      <c r="H226" s="162" t="s">
        <v>184</v>
      </c>
      <c r="I226" s="119" t="s">
        <v>86</v>
      </c>
      <c r="J226" s="4" t="s">
        <v>113</v>
      </c>
      <c r="K226" s="4"/>
      <c r="L226" s="93" t="s">
        <v>152</v>
      </c>
      <c r="M226" s="153" t="s">
        <v>185</v>
      </c>
      <c r="N226" s="154" t="s">
        <v>186</v>
      </c>
      <c r="O226" s="93" t="s">
        <v>187</v>
      </c>
    </row>
    <row r="227" spans="2:20" x14ac:dyDescent="0.25">
      <c r="B227" s="82"/>
      <c r="C227" s="83" t="s">
        <v>5</v>
      </c>
      <c r="D227" s="83" t="s">
        <v>6</v>
      </c>
      <c r="E227" s="83" t="s">
        <v>7</v>
      </c>
      <c r="F227" s="83" t="s">
        <v>115</v>
      </c>
      <c r="G227" s="83" t="s">
        <v>116</v>
      </c>
      <c r="H227" s="147" t="str">
        <f>H218</f>
        <v xml:space="preserve">Plain no protection </v>
      </c>
      <c r="I227" s="83"/>
      <c r="J227" s="85" t="s">
        <v>111</v>
      </c>
      <c r="K227" s="85"/>
      <c r="L227" s="85"/>
      <c r="M227" s="4"/>
      <c r="N227" s="165"/>
      <c r="O227" s="4"/>
    </row>
    <row r="228" spans="2:20" x14ac:dyDescent="0.25">
      <c r="B228" s="143" t="s">
        <v>0</v>
      </c>
      <c r="C228" s="100">
        <f>$C$37/1000</f>
        <v>0.39</v>
      </c>
      <c r="D228" s="100">
        <f>$D$37/1000</f>
        <v>0.15</v>
      </c>
      <c r="E228" s="100">
        <f>$E$37/1000</f>
        <v>0.1</v>
      </c>
      <c r="F228" s="101">
        <f>1*(D228+E228)+0.035</f>
        <v>0.28500000000000003</v>
      </c>
      <c r="G228" s="101">
        <f>2*(C228+0.7*(E228)+0.055)</f>
        <v>1.03</v>
      </c>
      <c r="H228" s="83" t="str">
        <f>H218</f>
        <v xml:space="preserve">Plain no protection </v>
      </c>
      <c r="I228" s="121">
        <f>I49</f>
        <v>1000</v>
      </c>
      <c r="J228" s="122" t="b">
        <f>AND(F228&gt;=0.318,F228&lt;=0.698,G228&gt;=0.533,G228&lt;=1.025)</f>
        <v>0</v>
      </c>
      <c r="K228" s="122">
        <f>IF(J228,1,0)</f>
        <v>0</v>
      </c>
      <c r="L228" s="69">
        <f>L106</f>
        <v>0</v>
      </c>
      <c r="M228" s="169">
        <f>IF(J228=FALSE,0,IF(S228&lt;=100,100,CEILING(S228,1)))</f>
        <v>0</v>
      </c>
      <c r="N228" s="4">
        <f>IF(J228=FALSE,0,IF(T228&lt;=100,100,CEILING(T228,1)))</f>
        <v>0</v>
      </c>
      <c r="O228" s="13">
        <f>IF(TRIM(H228)="Plain no protection",0,(IF(J228=FALSE,0,IF(S228&lt;=100,100,CEILING(S228,1)))+IF(J228=FALSE,0,IF(T228&lt;=100,100,CEILING(T228,1))))/2)</f>
        <v>0</v>
      </c>
      <c r="S228" s="168">
        <f>(F228*G228*L228*1550*0.0000015*40)+(L228*0.03)</f>
        <v>0</v>
      </c>
      <c r="T228" s="168">
        <f>F228*G228*1550*0.00008*L228</f>
        <v>0</v>
      </c>
    </row>
    <row r="229" spans="2:20" x14ac:dyDescent="0.25">
      <c r="B229" s="82"/>
      <c r="C229" s="100">
        <f>$C$37/1000</f>
        <v>0.39</v>
      </c>
      <c r="D229" s="100">
        <f>$D$37/1000</f>
        <v>0.15</v>
      </c>
      <c r="E229" s="100">
        <f>$E$37/1000</f>
        <v>0.1</v>
      </c>
      <c r="F229" s="101">
        <f>1*(D229+E229)+0.035</f>
        <v>0.28500000000000003</v>
      </c>
      <c r="G229" s="101">
        <f>2*(C229+0.7*(E229)+0.055)</f>
        <v>1.03</v>
      </c>
      <c r="H229" s="83" t="str">
        <f>H218</f>
        <v xml:space="preserve">Plain no protection </v>
      </c>
      <c r="I229" s="121">
        <f>I50</f>
        <v>2000</v>
      </c>
      <c r="J229" s="122" t="b">
        <f>AND(F229&gt;=0.318,F229&lt;=0.698,G229&gt;=0.533,G229&lt;=1.025)</f>
        <v>0</v>
      </c>
      <c r="K229" s="122">
        <f>IF(J229,1,0)</f>
        <v>0</v>
      </c>
      <c r="L229" s="69">
        <f>L107</f>
        <v>0</v>
      </c>
      <c r="M229" s="169">
        <f>IF(J229=FALSE,0,IF(S229&lt;=100,100,CEILING(S229,1)))</f>
        <v>0</v>
      </c>
      <c r="N229" s="4">
        <f>IF(J229=FALSE,0,IF(T229&lt;=100,100,CEILING(T229,1)))</f>
        <v>0</v>
      </c>
      <c r="O229" s="13">
        <f>IF(TRIM(H229)="Plain no protection",0,(IF(J229=FALSE,0,IF(S229&lt;=100,100,CEILING(S229,1)))+IF(J229=FALSE,0,IF(T229&lt;=100,100,CEILING(T229,1))))/2)</f>
        <v>0</v>
      </c>
      <c r="S229" s="168">
        <f>(F229*G229*L229*1550*0.0000015*40)+(L229*0.03)</f>
        <v>0</v>
      </c>
      <c r="T229" s="168">
        <f>F229*G229*1550*0.00008*L229</f>
        <v>0</v>
      </c>
    </row>
    <row r="230" spans="2:20" x14ac:dyDescent="0.25">
      <c r="B230" s="82"/>
      <c r="C230" s="100">
        <f>$C$37/1000</f>
        <v>0.39</v>
      </c>
      <c r="D230" s="100">
        <f>$D$37/1000</f>
        <v>0.15</v>
      </c>
      <c r="E230" s="100">
        <f>$E$37/1000</f>
        <v>0.1</v>
      </c>
      <c r="F230" s="101">
        <f>1*(D230+E230)+0.035</f>
        <v>0.28500000000000003</v>
      </c>
      <c r="G230" s="101">
        <f>2*(C230+0.7*(E230)+0.055)</f>
        <v>1.03</v>
      </c>
      <c r="H230" s="83" t="str">
        <f>H218</f>
        <v xml:space="preserve">Plain no protection </v>
      </c>
      <c r="I230" s="121">
        <f>I51</f>
        <v>3000</v>
      </c>
      <c r="J230" s="122" t="b">
        <f>AND(F230&gt;=0.318,F230&lt;=0.698,G230&gt;=0.533,G230&lt;=1.025)</f>
        <v>0</v>
      </c>
      <c r="K230" s="122">
        <f>IF(J230,1,0)</f>
        <v>0</v>
      </c>
      <c r="L230" s="69">
        <f>L108</f>
        <v>0</v>
      </c>
      <c r="M230" s="169">
        <f>IF(J230=FALSE,0,IF(S230&lt;=100,100,CEILING(S230,1)))</f>
        <v>0</v>
      </c>
      <c r="N230" s="4">
        <f>IF(J230=FALSE,0,IF(T230&lt;=100,100,CEILING(T230,1)))</f>
        <v>0</v>
      </c>
      <c r="O230" s="13">
        <f>IF(TRIM(H230)="Plain no protection",0,(IF(J230=FALSE,0,IF(S230&lt;=100,100,CEILING(S230,1)))+IF(J230=FALSE,0,IF(T230&lt;=100,100,CEILING(T230,1))))/2)</f>
        <v>0</v>
      </c>
      <c r="S230" s="168">
        <f>(F230*G230*L230*1550*0.0000015*40)+(L230*0.03)</f>
        <v>0</v>
      </c>
      <c r="T230" s="168">
        <f>F230*G230*1550*0.00008*L230</f>
        <v>0</v>
      </c>
    </row>
    <row r="231" spans="2:20" x14ac:dyDescent="0.25">
      <c r="B231" s="82"/>
      <c r="C231" s="100">
        <f>$C$37/1000</f>
        <v>0.39</v>
      </c>
      <c r="D231" s="100">
        <f>$D$37/1000</f>
        <v>0.15</v>
      </c>
      <c r="E231" s="100">
        <f>$E$37/1000</f>
        <v>0.1</v>
      </c>
      <c r="F231" s="101">
        <f>1*(D231+E231)+0.035</f>
        <v>0.28500000000000003</v>
      </c>
      <c r="G231" s="101">
        <f>2*(C231+0.7*(E231)+0.055)</f>
        <v>1.03</v>
      </c>
      <c r="H231" s="83" t="str">
        <f>H218</f>
        <v xml:space="preserve">Plain no protection </v>
      </c>
      <c r="I231" s="121">
        <f>I52</f>
        <v>4000</v>
      </c>
      <c r="J231" s="122" t="b">
        <f>AND(F231&gt;=0.318,F231&lt;=0.698,G231&gt;=0.533,G231&lt;=1.025)</f>
        <v>0</v>
      </c>
      <c r="K231" s="122">
        <f>IF(J231,1,0)</f>
        <v>0</v>
      </c>
      <c r="L231" s="69">
        <f>L109</f>
        <v>0</v>
      </c>
      <c r="M231" s="169">
        <f>IF(J231=FALSE,0,IF(S231&lt;=100,100,CEILING(S231,1)))</f>
        <v>0</v>
      </c>
      <c r="N231" s="4">
        <f>IF(J231=FALSE,0,IF(T231&lt;=100,100,CEILING(T231,1)))</f>
        <v>0</v>
      </c>
      <c r="O231" s="13">
        <f>IF(TRIM(H231)="Plain no protection",0,(IF(J231=FALSE,0,IF(S231&lt;=100,100,CEILING(S231,1)))+IF(J231=FALSE,0,IF(T231&lt;=100,100,CEILING(T231,1))))/2)</f>
        <v>0</v>
      </c>
      <c r="S231" s="168">
        <f>(F231*G231*L231*1550*0.0000015*40)+(L231*0.03)</f>
        <v>0</v>
      </c>
      <c r="T231" s="168">
        <f>F231*G231*1550*0.00008*L231</f>
        <v>0</v>
      </c>
    </row>
    <row r="233" spans="2:20" ht="15.75" thickBot="1" x14ac:dyDescent="0.3"/>
    <row r="234" spans="2:20" ht="15.75" thickBot="1" x14ac:dyDescent="0.3">
      <c r="B234" s="82" t="s">
        <v>0</v>
      </c>
      <c r="C234" s="83">
        <f>C216</f>
        <v>390</v>
      </c>
      <c r="D234" s="115">
        <f>D216</f>
        <v>150</v>
      </c>
      <c r="E234" s="83">
        <f>E216</f>
        <v>100</v>
      </c>
      <c r="F234" s="116">
        <f>C234+0.5*E234+23</f>
        <v>463</v>
      </c>
      <c r="G234" s="117">
        <v>113</v>
      </c>
      <c r="H234" s="118">
        <v>358.77499999999998</v>
      </c>
      <c r="I234" s="82"/>
    </row>
    <row r="235" spans="2:20" ht="30" x14ac:dyDescent="0.25">
      <c r="B235" s="82"/>
      <c r="C235" s="82"/>
      <c r="D235" s="82"/>
      <c r="E235" s="82"/>
      <c r="F235" s="229" t="s">
        <v>117</v>
      </c>
      <c r="G235" s="230"/>
      <c r="H235" s="162" t="s">
        <v>184</v>
      </c>
      <c r="I235" s="86" t="s">
        <v>86</v>
      </c>
      <c r="J235" s="4" t="s">
        <v>113</v>
      </c>
      <c r="K235" s="4"/>
      <c r="L235" s="93" t="s">
        <v>152</v>
      </c>
      <c r="M235" s="153" t="s">
        <v>185</v>
      </c>
      <c r="N235" s="154" t="s">
        <v>186</v>
      </c>
      <c r="O235" s="93" t="s">
        <v>187</v>
      </c>
    </row>
    <row r="236" spans="2:20" x14ac:dyDescent="0.25">
      <c r="B236" s="82"/>
      <c r="C236" s="83" t="s">
        <v>5</v>
      </c>
      <c r="D236" s="83" t="s">
        <v>6</v>
      </c>
      <c r="E236" s="83" t="s">
        <v>7</v>
      </c>
      <c r="F236" s="83" t="s">
        <v>115</v>
      </c>
      <c r="G236" s="83" t="s">
        <v>110</v>
      </c>
      <c r="H236" s="146" t="str">
        <f>H218</f>
        <v xml:space="preserve">Plain no protection </v>
      </c>
      <c r="I236" s="83"/>
      <c r="J236" s="85" t="s">
        <v>111</v>
      </c>
      <c r="K236" s="85"/>
      <c r="L236" s="85"/>
      <c r="M236" s="4"/>
      <c r="N236" s="172"/>
      <c r="O236" s="4"/>
    </row>
    <row r="237" spans="2:20" x14ac:dyDescent="0.25">
      <c r="B237" s="143" t="s">
        <v>0</v>
      </c>
      <c r="C237" s="100">
        <f>$C$37/1000</f>
        <v>0.39</v>
      </c>
      <c r="D237" s="100">
        <f>$D$37/1000</f>
        <v>0.15</v>
      </c>
      <c r="E237" s="100">
        <f>$E$37/1000</f>
        <v>0.1</v>
      </c>
      <c r="F237" s="101">
        <f>D237+E237+0.035</f>
        <v>0.28500000000000003</v>
      </c>
      <c r="G237" s="101">
        <f>C237+0.7*(E237)+0.055</f>
        <v>0.51500000000000001</v>
      </c>
      <c r="H237" s="83" t="str">
        <f>H218</f>
        <v xml:space="preserve">Plain no protection </v>
      </c>
      <c r="I237" s="121">
        <f>I58</f>
        <v>1000</v>
      </c>
      <c r="J237" s="122" t="b">
        <f>OR(AND(F237&gt;=0.318,F237&lt;=0.698,G237&gt;=0.533,G237&lt;=1.025),AND(F237&gt;=0.533,F237&lt;=1.025,G237&gt;=0.318,G237&lt;=0.698))</f>
        <v>0</v>
      </c>
      <c r="K237" s="123">
        <f>IF(J237,0.5,0)</f>
        <v>0</v>
      </c>
      <c r="L237" s="69">
        <f>L115</f>
        <v>0</v>
      </c>
      <c r="M237" s="169">
        <f>IF(J237=FALSE,0,IF(S237&lt;=100,100,CEILING(S237,1)))</f>
        <v>0</v>
      </c>
      <c r="N237" s="4">
        <f>IF(J237=FALSE,0,IF(T237&lt;=100,100,CEILING(T237,1)))</f>
        <v>0</v>
      </c>
      <c r="O237" s="13">
        <f>IF(TRIM(H237)="Plain no protection",0,(IF(J237=FALSE,0,IF(S237&lt;=100,100,CEILING(S237,1)))+IF(J237=FALSE,0,IF(T237&lt;=100,100,CEILING(T237,1))))/2)</f>
        <v>0</v>
      </c>
      <c r="S237" s="168">
        <f>(F237*G237*L237*1550*0.0000015*40)+(L237*0.03)</f>
        <v>0</v>
      </c>
      <c r="T237" s="168">
        <f>F237*G237*1550*0.00008*L237</f>
        <v>0</v>
      </c>
    </row>
    <row r="238" spans="2:20" x14ac:dyDescent="0.25">
      <c r="B238" s="82"/>
      <c r="C238" s="100">
        <f>$C$37/1000</f>
        <v>0.39</v>
      </c>
      <c r="D238" s="100">
        <f>$D$37/1000</f>
        <v>0.15</v>
      </c>
      <c r="E238" s="100">
        <f>$E$37/1000</f>
        <v>0.1</v>
      </c>
      <c r="F238" s="101">
        <f>D238+E238+0.035</f>
        <v>0.28500000000000003</v>
      </c>
      <c r="G238" s="101">
        <f>C238+0.7*(E238)+0.055</f>
        <v>0.51500000000000001</v>
      </c>
      <c r="H238" s="83" t="str">
        <f>H218</f>
        <v xml:space="preserve">Plain no protection </v>
      </c>
      <c r="I238" s="121">
        <f>I59</f>
        <v>2000</v>
      </c>
      <c r="J238" s="122" t="b">
        <f>OR(AND(F238&gt;=0.318,F238&lt;=0.698,G238&gt;=0.533,G238&lt;=1.025),AND(F238&gt;=0.533,F238&lt;=1.025,G238&gt;=0.318,G238&lt;=0.698))</f>
        <v>0</v>
      </c>
      <c r="K238" s="123">
        <f>IF(J238,0.5,0)</f>
        <v>0</v>
      </c>
      <c r="L238" s="69">
        <f>L116</f>
        <v>0</v>
      </c>
      <c r="M238" s="169">
        <f>IF(J238=FALSE,0,IF(S238&lt;=100,100,CEILING(S238,1)))</f>
        <v>0</v>
      </c>
      <c r="N238" s="4">
        <f>IF(J238=FALSE,0,IF(T238&lt;=100,100,CEILING(T238,1)))</f>
        <v>0</v>
      </c>
      <c r="O238" s="13">
        <f>IF(TRIM(H238)="Plain no protection",0,(IF(J238=FALSE,0,IF(S238&lt;=100,100,CEILING(S238,1)))+IF(J238=FALSE,0,IF(T238&lt;=100,100,CEILING(T238,1))))/2)</f>
        <v>0</v>
      </c>
      <c r="S238" s="168">
        <f>(F238*G238*L238*1550*0.0000015*40)+(L238*0.03)</f>
        <v>0</v>
      </c>
      <c r="T238" s="168">
        <f>F238*G238*1550*0.00008*L238</f>
        <v>0</v>
      </c>
    </row>
    <row r="239" spans="2:20" x14ac:dyDescent="0.25">
      <c r="B239" s="82"/>
      <c r="C239" s="100">
        <f>$C$37/1000</f>
        <v>0.39</v>
      </c>
      <c r="D239" s="100">
        <f>$D$37/1000</f>
        <v>0.15</v>
      </c>
      <c r="E239" s="100">
        <f>$E$37/1000</f>
        <v>0.1</v>
      </c>
      <c r="F239" s="101">
        <f>D239+E239+0.035</f>
        <v>0.28500000000000003</v>
      </c>
      <c r="G239" s="101">
        <f>C239+0.7*(E239)+0.055</f>
        <v>0.51500000000000001</v>
      </c>
      <c r="H239" s="83" t="str">
        <f>H218</f>
        <v xml:space="preserve">Plain no protection </v>
      </c>
      <c r="I239" s="121">
        <f>I60</f>
        <v>3000</v>
      </c>
      <c r="J239" s="122" t="b">
        <f>OR(AND(F239&gt;=0.318,F239&lt;=0.698,G239&gt;=0.533,G239&lt;=1.025),AND(F239&gt;=0.533,F239&lt;=1.025,G239&gt;=0.318,G239&lt;=0.698))</f>
        <v>0</v>
      </c>
      <c r="K239" s="123">
        <f>IF(J239,0.5,0)</f>
        <v>0</v>
      </c>
      <c r="L239" s="69">
        <f>L117</f>
        <v>0</v>
      </c>
      <c r="M239" s="169">
        <f>IF(J239=FALSE,0,IF(S239&lt;=100,100,CEILING(S239,1)))</f>
        <v>0</v>
      </c>
      <c r="N239" s="4">
        <f>IF(J239=FALSE,0,IF(T239&lt;=100,100,CEILING(T239,1)))</f>
        <v>0</v>
      </c>
      <c r="O239" s="13">
        <f>IF(TRIM(H239)="Plain no protection",0,(IF(J239=FALSE,0,IF(S239&lt;=100,100,CEILING(S239,1)))+IF(J239=FALSE,0,IF(T239&lt;=100,100,CEILING(T239,1))))/2)</f>
        <v>0</v>
      </c>
      <c r="S239" s="168">
        <f>(F239*G239*L239*1550*0.0000015*40)+(L239*0.03)</f>
        <v>0</v>
      </c>
      <c r="T239" s="168">
        <f>F239*G239*1550*0.00008*L239</f>
        <v>0</v>
      </c>
    </row>
    <row r="240" spans="2:20" x14ac:dyDescent="0.25">
      <c r="B240" s="82"/>
      <c r="C240" s="100">
        <f>$C$37/1000</f>
        <v>0.39</v>
      </c>
      <c r="D240" s="100">
        <f>$D$37/1000</f>
        <v>0.15</v>
      </c>
      <c r="E240" s="100">
        <f>$E$37/1000</f>
        <v>0.1</v>
      </c>
      <c r="F240" s="101">
        <f>D240+E240+0.035</f>
        <v>0.28500000000000003</v>
      </c>
      <c r="G240" s="101">
        <f>C240+0.7*(E240)+0.055</f>
        <v>0.51500000000000001</v>
      </c>
      <c r="H240" s="83" t="str">
        <f>H218</f>
        <v xml:space="preserve">Plain no protection </v>
      </c>
      <c r="I240" s="121">
        <f>I61</f>
        <v>4000</v>
      </c>
      <c r="J240" s="122" t="b">
        <f>OR(AND(F240&gt;=0.318,F240&lt;=0.698,G240&gt;=0.533,G240&lt;=1.025),AND(F240&gt;=0.533,F240&lt;=1.025,G240&gt;=0.318,G240&lt;=0.698))</f>
        <v>0</v>
      </c>
      <c r="K240" s="123">
        <f>IF(J240,0.5,0)</f>
        <v>0</v>
      </c>
      <c r="L240" s="69">
        <f>L118</f>
        <v>0</v>
      </c>
      <c r="M240" s="169">
        <f>IF(J240=FALSE,0,IF(S240&lt;=100,100,CEILING(S240,1)))</f>
        <v>0</v>
      </c>
      <c r="N240" s="4">
        <f>IF(J240=FALSE,0,IF(T240&lt;=100,100,CEILING(T240,1)))</f>
        <v>0</v>
      </c>
      <c r="O240" s="13">
        <f>IF(TRIM(H240)="Plain no protection",0,(IF(J240=FALSE,0,IF(S240&lt;=100,100,CEILING(S240,1)))+IF(J240=FALSE,0,IF(T240&lt;=100,100,CEILING(T240,1))))/2)</f>
        <v>0</v>
      </c>
      <c r="S240" s="168">
        <f>(F240*G240*L240*1550*0.0000015*40)+(L240*0.03)</f>
        <v>0</v>
      </c>
      <c r="T240" s="168">
        <f>F240*G240*1550*0.00008*L240</f>
        <v>0</v>
      </c>
    </row>
    <row r="242" spans="1:25" ht="15.75" thickBot="1" x14ac:dyDescent="0.3"/>
    <row r="243" spans="1:25" ht="15.75" thickBot="1" x14ac:dyDescent="0.3">
      <c r="B243" s="82" t="s">
        <v>0</v>
      </c>
      <c r="C243" s="83">
        <f>C216</f>
        <v>390</v>
      </c>
      <c r="D243" s="115">
        <f>D216</f>
        <v>150</v>
      </c>
      <c r="E243" s="83">
        <f>E216</f>
        <v>100</v>
      </c>
      <c r="F243" s="116">
        <f>C243+0.5*E243+23</f>
        <v>463</v>
      </c>
      <c r="G243" s="117">
        <v>113</v>
      </c>
      <c r="H243" s="126">
        <v>358.77499999999998</v>
      </c>
      <c r="I243" s="82"/>
    </row>
    <row r="244" spans="1:25" ht="30" x14ac:dyDescent="0.25">
      <c r="B244" s="82"/>
      <c r="C244" s="82"/>
      <c r="D244" s="82"/>
      <c r="E244" s="82"/>
      <c r="F244" s="229" t="s">
        <v>119</v>
      </c>
      <c r="G244" s="231"/>
      <c r="H244" s="162" t="s">
        <v>184</v>
      </c>
      <c r="I244" s="86" t="s">
        <v>86</v>
      </c>
      <c r="J244" s="87" t="s">
        <v>87</v>
      </c>
      <c r="K244" s="4" t="s">
        <v>88</v>
      </c>
      <c r="L244" s="93" t="s">
        <v>152</v>
      </c>
      <c r="M244" s="153" t="s">
        <v>185</v>
      </c>
      <c r="N244" s="154" t="s">
        <v>186</v>
      </c>
      <c r="O244" s="93" t="s">
        <v>187</v>
      </c>
    </row>
    <row r="245" spans="1:25" x14ac:dyDescent="0.25">
      <c r="B245" s="82"/>
      <c r="C245" s="83" t="s">
        <v>5</v>
      </c>
      <c r="D245" s="83" t="s">
        <v>6</v>
      </c>
      <c r="E245" s="83" t="s">
        <v>7</v>
      </c>
      <c r="F245" s="83" t="s">
        <v>109</v>
      </c>
      <c r="G245" s="83" t="s">
        <v>121</v>
      </c>
      <c r="H245" s="146" t="str">
        <f>H218</f>
        <v xml:space="preserve">Plain no protection </v>
      </c>
      <c r="I245" s="83"/>
      <c r="J245" s="85" t="s">
        <v>111</v>
      </c>
      <c r="L245" s="85"/>
      <c r="M245" s="4"/>
      <c r="N245" s="165"/>
      <c r="O245" s="4"/>
    </row>
    <row r="246" spans="1:25" x14ac:dyDescent="0.25">
      <c r="B246" s="143" t="s">
        <v>0</v>
      </c>
      <c r="C246" s="100">
        <f>$C$37/1000</f>
        <v>0.39</v>
      </c>
      <c r="D246" s="100">
        <f>$D$37/1000</f>
        <v>0.15</v>
      </c>
      <c r="E246" s="100">
        <f>$E$37/1000</f>
        <v>0.1</v>
      </c>
      <c r="F246" s="101">
        <f>2*(D246+E246)+0.035</f>
        <v>0.53500000000000003</v>
      </c>
      <c r="G246" s="101">
        <f>2*(C246+0.7*(E246)+0.055)</f>
        <v>1.03</v>
      </c>
      <c r="H246" s="83" t="str">
        <f>H218</f>
        <v xml:space="preserve">Plain no protection </v>
      </c>
      <c r="I246" s="121">
        <f>I67</f>
        <v>1000</v>
      </c>
      <c r="J246" s="104" t="b">
        <f>OR(AND(F246&gt;=0.3,F246&lt;=0.698,G246&gt;=0.42,G246&lt;=1.025),AND(F246&gt;=0.42,F246&lt;=1.025,G246&gt;=0.3,G246&lt;=0.698))</f>
        <v>0</v>
      </c>
      <c r="K246" s="104">
        <f>IF(J246,2,0)</f>
        <v>0</v>
      </c>
      <c r="L246" s="69">
        <f>L124</f>
        <v>0</v>
      </c>
      <c r="M246" s="169">
        <f>IF(J246=FALSE,0,IF(S246&lt;=100,100,CEILING(S246,1)))</f>
        <v>0</v>
      </c>
      <c r="N246" s="4">
        <f>IF(J246=FALSE,0,IF(T246&lt;=100,100,CEILING(T246,1)))</f>
        <v>0</v>
      </c>
      <c r="O246" s="13">
        <f>IF(TRIM(H246)="Plain no protection",0,(IF(J246=FALSE,0,IF(S246&lt;=100,100,CEILING(S246,1)))+IF(J246=FALSE,0,IF(T246&lt;=100,100,CEILING(T246,1))))/2)</f>
        <v>0</v>
      </c>
      <c r="S246" s="168">
        <f>(F246*G246*L246*1550*0.0000015*40)+(L246*0.03)</f>
        <v>0</v>
      </c>
      <c r="T246" s="168">
        <f>F246*G246*1550*0.00008*L246</f>
        <v>0</v>
      </c>
    </row>
    <row r="247" spans="1:25" x14ac:dyDescent="0.25">
      <c r="B247" s="82"/>
      <c r="C247" s="100">
        <f>$C$37/1000</f>
        <v>0.39</v>
      </c>
      <c r="D247" s="100">
        <f>$D$37/1000</f>
        <v>0.15</v>
      </c>
      <c r="E247" s="100">
        <f>$E$37/1000</f>
        <v>0.1</v>
      </c>
      <c r="F247" s="101">
        <f>2*(D247+E247)+0.035</f>
        <v>0.53500000000000003</v>
      </c>
      <c r="G247" s="101">
        <f>2*(C247+0.7*(E247)+0.055)</f>
        <v>1.03</v>
      </c>
      <c r="H247" s="83" t="str">
        <f>H218</f>
        <v xml:space="preserve">Plain no protection </v>
      </c>
      <c r="I247" s="121">
        <f>I68</f>
        <v>2000</v>
      </c>
      <c r="J247" s="104" t="b">
        <f>OR(AND(F247&gt;=0.3,F247&lt;=0.698,G247&gt;=0.42,G247&lt;=1.025),AND(F247&gt;=0.42,F247&lt;=1.025,G247&gt;=0.3,G247&lt;=0.698))</f>
        <v>0</v>
      </c>
      <c r="K247" s="104">
        <f>IF(J247,2,0)</f>
        <v>0</v>
      </c>
      <c r="L247" s="69">
        <f>L125</f>
        <v>0</v>
      </c>
      <c r="M247" s="169">
        <f>IF(J247=FALSE,0,IF(S247&lt;=100,100,CEILING(S247,1)))</f>
        <v>0</v>
      </c>
      <c r="N247" s="4">
        <f>IF(J247=FALSE,0,IF(T247&lt;=100,100,CEILING(T247,1)))</f>
        <v>0</v>
      </c>
      <c r="O247" s="13">
        <f>IF(TRIM(H247)="Plain no protection",0,(IF(J247=FALSE,0,IF(S247&lt;=100,100,CEILING(S247,1)))+IF(J247=FALSE,0,IF(T247&lt;=100,100,CEILING(T247,1))))/2)</f>
        <v>0</v>
      </c>
      <c r="S247" s="168">
        <f>(F247*G247*L247*1550*0.0000015*40)+(L247*0.03)</f>
        <v>0</v>
      </c>
      <c r="T247" s="168">
        <f>F247*G247*1550*0.00008*L247</f>
        <v>0</v>
      </c>
    </row>
    <row r="248" spans="1:25" x14ac:dyDescent="0.25">
      <c r="B248" s="82"/>
      <c r="C248" s="100">
        <f>$C$37/1000</f>
        <v>0.39</v>
      </c>
      <c r="D248" s="100">
        <f>$D$37/1000</f>
        <v>0.15</v>
      </c>
      <c r="E248" s="100">
        <f>$E$37/1000</f>
        <v>0.1</v>
      </c>
      <c r="F248" s="101">
        <f>2*(D248+E248)+0.035</f>
        <v>0.53500000000000003</v>
      </c>
      <c r="G248" s="101">
        <f>2*(C248+0.7*(E248)+0.055)</f>
        <v>1.03</v>
      </c>
      <c r="H248" s="83" t="str">
        <f>H218</f>
        <v xml:space="preserve">Plain no protection </v>
      </c>
      <c r="I248" s="121">
        <f>I69</f>
        <v>3000</v>
      </c>
      <c r="J248" s="104" t="b">
        <f>OR(AND(F248&gt;=0.3,F248&lt;=0.698,G248&gt;=0.42,G248&lt;=1.025),AND(F248&gt;=0.42,F248&lt;=1.025,G248&gt;=0.3,G248&lt;=0.698))</f>
        <v>0</v>
      </c>
      <c r="K248" s="104">
        <f>IF(J248,2,0)</f>
        <v>0</v>
      </c>
      <c r="L248" s="69">
        <f>L126</f>
        <v>0</v>
      </c>
      <c r="M248" s="169">
        <f>IF(J248=FALSE,0,IF(S248&lt;=100,100,CEILING(S248,1)))</f>
        <v>0</v>
      </c>
      <c r="N248" s="4">
        <f>IF(J248=FALSE,0,IF(T248&lt;=100,100,CEILING(T248,1)))</f>
        <v>0</v>
      </c>
      <c r="O248" s="13">
        <f>IF(TRIM(H248)="Plain no protection",0,(IF(J248=FALSE,0,IF(S248&lt;=100,100,CEILING(S248,1)))+IF(J248=FALSE,0,IF(T248&lt;=100,100,CEILING(T248,1))))/2)</f>
        <v>0</v>
      </c>
      <c r="S248" s="168">
        <f>(F248*G248*L248*1550*0.0000015*40)+(L248*0.03)</f>
        <v>0</v>
      </c>
      <c r="T248" s="168">
        <f>F248*G248*1550*0.00008*L248</f>
        <v>0</v>
      </c>
    </row>
    <row r="249" spans="1:25" x14ac:dyDescent="0.25">
      <c r="B249" s="82"/>
      <c r="C249" s="100">
        <f>$C$37/1000</f>
        <v>0.39</v>
      </c>
      <c r="D249" s="100">
        <f>$D$37/1000</f>
        <v>0.15</v>
      </c>
      <c r="E249" s="100">
        <f>$E$37/1000</f>
        <v>0.1</v>
      </c>
      <c r="F249" s="101">
        <f>2*(D249+E249)+0.035</f>
        <v>0.53500000000000003</v>
      </c>
      <c r="G249" s="101">
        <f>2*(C249+0.7*(E249)+0.055)</f>
        <v>1.03</v>
      </c>
      <c r="H249" s="83" t="str">
        <f>H218</f>
        <v xml:space="preserve">Plain no protection </v>
      </c>
      <c r="I249" s="121">
        <f>I70</f>
        <v>4000</v>
      </c>
      <c r="J249" s="104" t="b">
        <f>OR(AND(F249&gt;=0.3,F249&lt;=0.698,G249&gt;=0.42,G249&lt;=1.025),AND(F249&gt;=0.42,F249&lt;=1.025,G249&gt;=0.3,G249&lt;=0.698))</f>
        <v>0</v>
      </c>
      <c r="K249" s="104">
        <f>IF(J249,2,0)</f>
        <v>0</v>
      </c>
      <c r="L249" s="69">
        <f>L127</f>
        <v>0</v>
      </c>
      <c r="M249" s="169">
        <f>IF(J249=FALSE,0,IF(S249&lt;=100,100,CEILING(S249,1)))</f>
        <v>0</v>
      </c>
      <c r="N249" s="4">
        <f>IF(J249=FALSE,0,IF(T249&lt;=100,100,CEILING(T249,1)))</f>
        <v>0</v>
      </c>
      <c r="O249" s="13">
        <f>IF(TRIM(H249)="Plain no protection",0,(IF(J249=FALSE,0,IF(S249&lt;=100,100,CEILING(S249,1)))+IF(J249=FALSE,0,IF(T249&lt;=100,100,CEILING(T249,1))))/2)</f>
        <v>0</v>
      </c>
      <c r="S249" s="168">
        <f>(F249*G249*L249*1550*0.0000015*40)+(L249*0.03)</f>
        <v>0</v>
      </c>
      <c r="T249" s="168">
        <f>F249*G249*1550*0.00008*L249</f>
        <v>0</v>
      </c>
    </row>
    <row r="253" spans="1:25" s="173" customFormat="1" ht="18.75" x14ac:dyDescent="0.3">
      <c r="A253" s="232" t="s">
        <v>190</v>
      </c>
      <c r="B253" s="232"/>
      <c r="C253" s="232"/>
      <c r="D253" s="232"/>
      <c r="E253" s="232"/>
      <c r="F253" s="232"/>
      <c r="Q253" s="232" t="s">
        <v>190</v>
      </c>
      <c r="R253" s="232"/>
      <c r="S253" s="232"/>
      <c r="T253" s="232"/>
      <c r="U253" s="232"/>
      <c r="V253" s="232"/>
    </row>
    <row r="255" spans="1:25" x14ac:dyDescent="0.25">
      <c r="N255" s="50" t="s">
        <v>46</v>
      </c>
      <c r="Q255" s="241" t="s">
        <v>191</v>
      </c>
      <c r="R255" s="242"/>
      <c r="S255" s="242"/>
      <c r="T255" s="242"/>
      <c r="U255" s="242"/>
      <c r="V255" s="242"/>
      <c r="W255" s="242"/>
      <c r="X255" s="242"/>
      <c r="Y255" s="243"/>
    </row>
    <row r="256" spans="1:25" ht="18.75" x14ac:dyDescent="0.3">
      <c r="B256" s="152" t="s">
        <v>192</v>
      </c>
      <c r="C256" s="152"/>
      <c r="D256" s="152"/>
      <c r="E256" s="152"/>
      <c r="F256" s="152"/>
      <c r="G256" s="152"/>
      <c r="H256" s="152"/>
      <c r="N256" s="50" t="s">
        <v>193</v>
      </c>
      <c r="Q256" s="244"/>
      <c r="R256" s="245"/>
      <c r="S256" s="245"/>
      <c r="T256" s="245"/>
      <c r="U256" s="245"/>
      <c r="V256" s="245"/>
      <c r="W256" s="245"/>
      <c r="X256" s="245"/>
      <c r="Y256" s="246"/>
    </row>
    <row r="257" spans="2:25" ht="15.75" thickBot="1" x14ac:dyDescent="0.3">
      <c r="N257" s="50" t="s">
        <v>194</v>
      </c>
    </row>
    <row r="258" spans="2:25" ht="15.75" thickBot="1" x14ac:dyDescent="0.3">
      <c r="B258" s="82" t="s">
        <v>0</v>
      </c>
      <c r="C258" s="83">
        <f>C37</f>
        <v>390</v>
      </c>
      <c r="D258" s="115">
        <f>D37</f>
        <v>150</v>
      </c>
      <c r="E258" s="83">
        <f>E37</f>
        <v>100</v>
      </c>
      <c r="F258" s="116">
        <f>C258+0.5*E258+23</f>
        <v>463</v>
      </c>
      <c r="G258" s="117">
        <v>113</v>
      </c>
      <c r="H258" s="126">
        <v>358.77499999999998</v>
      </c>
      <c r="I258" s="82"/>
      <c r="S258" s="247" t="s">
        <v>195</v>
      </c>
      <c r="T258" s="236" t="s">
        <v>194</v>
      </c>
      <c r="V258" s="236" t="s">
        <v>196</v>
      </c>
      <c r="W258" s="236" t="s">
        <v>197</v>
      </c>
      <c r="X258" s="236" t="s">
        <v>198</v>
      </c>
    </row>
    <row r="259" spans="2:25" ht="30.75" thickBot="1" x14ac:dyDescent="0.3">
      <c r="B259" s="82"/>
      <c r="C259" s="82"/>
      <c r="D259" s="82"/>
      <c r="E259" s="82"/>
      <c r="F259" s="227" t="s">
        <v>85</v>
      </c>
      <c r="G259" s="228"/>
      <c r="H259" s="162" t="s">
        <v>199</v>
      </c>
      <c r="I259" s="86" t="s">
        <v>86</v>
      </c>
      <c r="J259" s="87" t="s">
        <v>87</v>
      </c>
      <c r="K259" s="4" t="s">
        <v>88</v>
      </c>
      <c r="L259" s="93" t="s">
        <v>152</v>
      </c>
      <c r="M259" s="153" t="s">
        <v>185</v>
      </c>
      <c r="N259" s="154" t="s">
        <v>186</v>
      </c>
      <c r="O259" s="93" t="s">
        <v>187</v>
      </c>
      <c r="Q259" s="163" t="s">
        <v>200</v>
      </c>
      <c r="S259" s="248"/>
      <c r="T259" s="238"/>
      <c r="V259" s="238"/>
      <c r="W259" s="238"/>
      <c r="X259" s="238"/>
    </row>
    <row r="260" spans="2:25" ht="15.75" thickBot="1" x14ac:dyDescent="0.3">
      <c r="B260" s="82"/>
      <c r="C260" s="83" t="s">
        <v>5</v>
      </c>
      <c r="D260" s="83" t="s">
        <v>6</v>
      </c>
      <c r="E260" s="83" t="s">
        <v>7</v>
      </c>
      <c r="F260" s="83" t="s">
        <v>109</v>
      </c>
      <c r="G260" s="83" t="s">
        <v>110</v>
      </c>
      <c r="H260" s="164" t="str">
        <f>E13</f>
        <v>Matt Lamination</v>
      </c>
      <c r="I260" s="83"/>
      <c r="J260" s="85" t="s">
        <v>111</v>
      </c>
      <c r="L260" s="85"/>
      <c r="M260" s="4" t="s">
        <v>189</v>
      </c>
      <c r="N260" s="165"/>
      <c r="O260" s="4"/>
      <c r="V260" s="220">
        <v>0</v>
      </c>
      <c r="W260" s="220">
        <v>49.9</v>
      </c>
      <c r="X260" s="220">
        <v>0</v>
      </c>
      <c r="Y260" s="24"/>
    </row>
    <row r="261" spans="2:25" x14ac:dyDescent="0.25">
      <c r="B261" s="143" t="s">
        <v>0</v>
      </c>
      <c r="C261" s="100">
        <f>$C$37/1000</f>
        <v>0.39</v>
      </c>
      <c r="D261" s="100">
        <f>$D$37/1000</f>
        <v>0.15</v>
      </c>
      <c r="E261" s="100">
        <f>$E$37/1000</f>
        <v>0.1</v>
      </c>
      <c r="F261" s="101">
        <f>2*(D261+E261)+0.035</f>
        <v>0.53500000000000003</v>
      </c>
      <c r="G261" s="101">
        <f>C261+0.7*(E261)+0.055</f>
        <v>0.51500000000000001</v>
      </c>
      <c r="H261" s="83" t="str">
        <f>H260</f>
        <v>Matt Lamination</v>
      </c>
      <c r="I261" s="121">
        <f>I40</f>
        <v>1000</v>
      </c>
      <c r="J261" s="104" t="b">
        <f>AND(F261&gt;=0.533,F261&lt;=1.025,G261&gt;=0.318,G261&lt;=0.698)</f>
        <v>1</v>
      </c>
      <c r="K261" s="104">
        <f>IF(J261,1,0)</f>
        <v>1</v>
      </c>
      <c r="L261" s="69">
        <f>IF(J261=TRUE,I261/K261,0)</f>
        <v>1000</v>
      </c>
      <c r="M261" s="166">
        <f>IF(J261=FALSE,0,IF(S261&lt;=100,100,CEILING(S261,1)))</f>
        <v>171</v>
      </c>
      <c r="N261" s="4">
        <f>IF(J261=FALSE,0,IF(T261&lt;=100,100,CEILING(T261,1)))</f>
        <v>180</v>
      </c>
      <c r="O261" s="13">
        <f>IF(TRIM(H261)="Plain without Lamination",0,(IF(J261=FALSE,0,IF(S261&lt;=50,50,CEILING(S261,1)))+IF(J261=FALSE,0,IF(T261&lt;=50,50,CEILING(T261,1))))/2)</f>
        <v>175.5</v>
      </c>
      <c r="Q261" s="174">
        <f>SUM(O261,O270,O279,O288)/MAX(1,SUM((O261&gt;0)+(O270&gt;0)+(O279&gt;0)+(O288&gt;0)))</f>
        <v>175.5</v>
      </c>
      <c r="S261" s="150">
        <f>(F261*G261*L261*1550*0.0004)</f>
        <v>170.82550000000003</v>
      </c>
      <c r="T261" s="150">
        <f>F261*G261*1550*0.00042*L261</f>
        <v>179.36677500000002</v>
      </c>
      <c r="V261" s="4">
        <v>50</v>
      </c>
      <c r="W261" s="4">
        <v>1000</v>
      </c>
      <c r="X261" s="134">
        <v>1</v>
      </c>
    </row>
    <row r="262" spans="2:25" x14ac:dyDescent="0.25">
      <c r="B262" s="82"/>
      <c r="C262" s="100">
        <f>$C$37/1000</f>
        <v>0.39</v>
      </c>
      <c r="D262" s="100">
        <f>$D$37/1000</f>
        <v>0.15</v>
      </c>
      <c r="E262" s="100">
        <f>$E$37/1000</f>
        <v>0.1</v>
      </c>
      <c r="F262" s="101">
        <f>2*(D262+E262)+0.035</f>
        <v>0.53500000000000003</v>
      </c>
      <c r="G262" s="101">
        <f>C262+0.7*(E262)+0.055</f>
        <v>0.51500000000000001</v>
      </c>
      <c r="H262" s="83" t="str">
        <f>H260</f>
        <v>Matt Lamination</v>
      </c>
      <c r="I262" s="121">
        <f>I41</f>
        <v>2000</v>
      </c>
      <c r="J262" s="104" t="b">
        <f>AND(F262&gt;=0.533,F262&lt;=1.025,G262&gt;=0.318,G262&lt;=0.698)</f>
        <v>1</v>
      </c>
      <c r="K262" s="104">
        <f>IF(J262,1,0)</f>
        <v>1</v>
      </c>
      <c r="L262" s="69">
        <f>IF(J262=TRUE,I262/K262,0)</f>
        <v>2000</v>
      </c>
      <c r="M262" s="169">
        <f>IF(J262=FALSE,0,IF(S262&lt;=100,100,CEILING(S262,1)))</f>
        <v>342</v>
      </c>
      <c r="N262" s="4">
        <f>IF(J262=FALSE,0,IF(T262&lt;=100,100,CEILING(T262,1)))</f>
        <v>359</v>
      </c>
      <c r="O262" s="13">
        <f>IF(TRIM(H262)="Plain without Lamination",0,(IF(J262=FALSE,0,IF(S262&lt;=50,50,CEILING(S262,1)))+IF(J262=FALSE,0,IF(T262&lt;=50,50,CEILING(T262,1))))/2)</f>
        <v>350.5</v>
      </c>
      <c r="Q262" s="175">
        <f>SUM(O262,O271,O280,O289)/MAX(1,SUM((O262&gt;0)+(O271&gt;0)+(O280&gt;0)+(O289&gt;0)))</f>
        <v>350.5</v>
      </c>
      <c r="S262" s="150">
        <f>(F262*G262*L262*1550*0.0004)</f>
        <v>341.65100000000007</v>
      </c>
      <c r="T262" s="150">
        <f>F262*G262*1550*0.00042*L262</f>
        <v>358.73355000000004</v>
      </c>
      <c r="V262" s="4">
        <v>1001</v>
      </c>
      <c r="W262" s="4">
        <v>3000</v>
      </c>
      <c r="X262" s="134">
        <v>0.95</v>
      </c>
    </row>
    <row r="263" spans="2:25" x14ac:dyDescent="0.25">
      <c r="B263" s="82"/>
      <c r="C263" s="100">
        <f>$C$37/1000</f>
        <v>0.39</v>
      </c>
      <c r="D263" s="100">
        <f>$D$37/1000</f>
        <v>0.15</v>
      </c>
      <c r="E263" s="100">
        <f>$E$37/1000</f>
        <v>0.1</v>
      </c>
      <c r="F263" s="101">
        <f>2*(D263+E263)+0.035</f>
        <v>0.53500000000000003</v>
      </c>
      <c r="G263" s="101">
        <f>C263+0.7*(E263)+0.055</f>
        <v>0.51500000000000001</v>
      </c>
      <c r="H263" s="83" t="str">
        <f>H260</f>
        <v>Matt Lamination</v>
      </c>
      <c r="I263" s="121">
        <f>I42</f>
        <v>3000</v>
      </c>
      <c r="J263" s="104" t="b">
        <f>AND(F263&gt;=0.533,F263&lt;=1.025,G263&gt;=0.318,G263&lt;=0.698)</f>
        <v>1</v>
      </c>
      <c r="K263" s="104">
        <f>IF(J263,1,0)</f>
        <v>1</v>
      </c>
      <c r="L263" s="69">
        <f>IF(J263=TRUE,I263/K263,0)</f>
        <v>3000</v>
      </c>
      <c r="M263" s="169">
        <f>IF(J263=FALSE,0,IF(S263&lt;=100,100,CEILING(S263,1)))</f>
        <v>513</v>
      </c>
      <c r="N263" s="4">
        <f>IF(J263=FALSE,0,IF(T263&lt;=100,100,CEILING(T263,1)))</f>
        <v>539</v>
      </c>
      <c r="O263" s="13">
        <f>IF(TRIM(H263)="Plain without Lamination",0,(IF(J263=FALSE,0,IF(S263&lt;=50,50,CEILING(S263,1)))+IF(J263=FALSE,0,IF(T263&lt;=50,50,CEILING(T263,1))))/2)</f>
        <v>526</v>
      </c>
      <c r="Q263" s="175">
        <f>SUM(O263,O272,O281,O290)/MAX(1,SUM((O263&gt;0)+(O272&gt;0)+(O281&gt;0)+(O290&gt;0)))</f>
        <v>526</v>
      </c>
      <c r="S263" s="150">
        <f>(F263*G263*L263*1550*0.0004)</f>
        <v>512.47649999999999</v>
      </c>
      <c r="T263" s="150">
        <f>F263*G263*1550*0.00042*L263</f>
        <v>538.100325</v>
      </c>
      <c r="V263" s="4">
        <v>3001</v>
      </c>
      <c r="W263" s="4">
        <v>6000</v>
      </c>
      <c r="X263" s="134">
        <v>0.92</v>
      </c>
    </row>
    <row r="264" spans="2:25" ht="15.75" thickBot="1" x14ac:dyDescent="0.3">
      <c r="B264" s="82"/>
      <c r="C264" s="100">
        <f>$C$37/1000</f>
        <v>0.39</v>
      </c>
      <c r="D264" s="100">
        <f>$D$37/1000</f>
        <v>0.15</v>
      </c>
      <c r="E264" s="100">
        <f>$E$37/1000</f>
        <v>0.1</v>
      </c>
      <c r="F264" s="101">
        <f>2*(D264+E264)+0.035</f>
        <v>0.53500000000000003</v>
      </c>
      <c r="G264" s="101">
        <f>C264+0.7*(E264)+0.055</f>
        <v>0.51500000000000001</v>
      </c>
      <c r="H264" s="83" t="str">
        <f>H260</f>
        <v>Matt Lamination</v>
      </c>
      <c r="I264" s="121">
        <f>I43</f>
        <v>4000</v>
      </c>
      <c r="J264" s="104" t="b">
        <f>AND(F264&gt;=0.533,F264&lt;=1.025,G264&gt;=0.318,G264&lt;=0.698)</f>
        <v>1</v>
      </c>
      <c r="K264" s="104">
        <f>IF(J264,1,0)</f>
        <v>1</v>
      </c>
      <c r="L264" s="69">
        <f>IF(J264=TRUE,I264/K264,0)</f>
        <v>4000</v>
      </c>
      <c r="M264" s="169">
        <f>IF(J264=FALSE,0,IF(S264&lt;=100,100,CEILING(S264,1)))</f>
        <v>684</v>
      </c>
      <c r="N264" s="4">
        <f>IF(J264=FALSE,0,IF(T264&lt;=100,100,CEILING(T264,1)))</f>
        <v>718</v>
      </c>
      <c r="O264" s="13">
        <f>IF(TRIM(H264)="Plain without Lamination",0,(IF(J264=FALSE,0,IF(S264&lt;=50,50,CEILING(S264,1)))+IF(J264=FALSE,0,IF(T264&lt;=50,50,CEILING(T264,1))))/2)</f>
        <v>701</v>
      </c>
      <c r="Q264" s="176">
        <f>SUM(O264,O273,O282,O291)/MAX(1,SUM((O264&gt;0)+(O273&gt;0)+(O282&gt;0)+(O291&gt;0)))</f>
        <v>701</v>
      </c>
      <c r="S264" s="150">
        <f>(F264*G264*L264*1550*0.0004)</f>
        <v>683.30200000000013</v>
      </c>
      <c r="T264" s="150">
        <f>F264*G264*1550*0.00042*L264</f>
        <v>717.46710000000007</v>
      </c>
      <c r="V264" s="4">
        <v>6001</v>
      </c>
      <c r="W264" s="4">
        <v>10000</v>
      </c>
      <c r="X264" s="134">
        <v>0.9</v>
      </c>
    </row>
    <row r="265" spans="2:25" x14ac:dyDescent="0.25">
      <c r="V265" s="4">
        <v>10001</v>
      </c>
      <c r="W265" s="4">
        <v>20000</v>
      </c>
      <c r="X265" s="134">
        <v>0.88</v>
      </c>
    </row>
    <row r="266" spans="2:25" ht="15.75" thickBot="1" x14ac:dyDescent="0.3">
      <c r="V266" s="4">
        <v>20001</v>
      </c>
      <c r="W266" s="4">
        <v>50000</v>
      </c>
      <c r="X266" s="134">
        <v>0.86</v>
      </c>
      <c r="Y266" s="24"/>
    </row>
    <row r="267" spans="2:25" ht="15.75" thickBot="1" x14ac:dyDescent="0.3">
      <c r="B267" s="82" t="s">
        <v>0</v>
      </c>
      <c r="C267" s="83">
        <f>C258</f>
        <v>390</v>
      </c>
      <c r="D267" s="115">
        <f>D258</f>
        <v>150</v>
      </c>
      <c r="E267" s="83">
        <f>E258</f>
        <v>100</v>
      </c>
      <c r="F267" s="116">
        <f>C267+0.5*E267+23</f>
        <v>463</v>
      </c>
      <c r="G267" s="117">
        <v>113</v>
      </c>
      <c r="H267" s="118">
        <v>358.77499999999998</v>
      </c>
      <c r="I267" s="82"/>
      <c r="V267" s="4">
        <v>50001</v>
      </c>
      <c r="W267" s="4">
        <v>100000</v>
      </c>
      <c r="X267" s="134">
        <v>0.82</v>
      </c>
    </row>
    <row r="268" spans="2:25" ht="30" x14ac:dyDescent="0.25">
      <c r="B268" s="82"/>
      <c r="C268" s="82"/>
      <c r="D268" s="82"/>
      <c r="E268" s="82"/>
      <c r="F268" s="229" t="s">
        <v>112</v>
      </c>
      <c r="G268" s="230"/>
      <c r="H268" s="162" t="s">
        <v>199</v>
      </c>
      <c r="I268" s="119" t="s">
        <v>86</v>
      </c>
      <c r="J268" s="4" t="s">
        <v>113</v>
      </c>
      <c r="K268" s="4"/>
      <c r="L268" s="93" t="s">
        <v>152</v>
      </c>
      <c r="M268" s="153" t="s">
        <v>185</v>
      </c>
      <c r="N268" s="154" t="s">
        <v>186</v>
      </c>
      <c r="O268" s="93" t="s">
        <v>187</v>
      </c>
      <c r="V268" s="4">
        <v>100001</v>
      </c>
      <c r="W268" s="4">
        <v>200000</v>
      </c>
      <c r="X268" s="134">
        <v>0.8</v>
      </c>
    </row>
    <row r="269" spans="2:25" x14ac:dyDescent="0.25">
      <c r="B269" s="82"/>
      <c r="C269" s="83" t="s">
        <v>5</v>
      </c>
      <c r="D269" s="83" t="s">
        <v>6</v>
      </c>
      <c r="E269" s="83" t="s">
        <v>7</v>
      </c>
      <c r="F269" s="83" t="s">
        <v>115</v>
      </c>
      <c r="G269" s="83" t="s">
        <v>116</v>
      </c>
      <c r="H269" s="177" t="str">
        <f>H260</f>
        <v>Matt Lamination</v>
      </c>
      <c r="I269" s="83"/>
      <c r="J269" s="85" t="s">
        <v>111</v>
      </c>
      <c r="K269" s="85"/>
      <c r="L269" s="85"/>
      <c r="M269" s="4"/>
      <c r="N269" s="165"/>
      <c r="O269" s="4"/>
      <c r="Q269" s="8" t="s">
        <v>201</v>
      </c>
      <c r="V269" s="4">
        <v>200001</v>
      </c>
      <c r="W269" s="4">
        <v>350000</v>
      </c>
      <c r="X269" s="134">
        <v>0.78</v>
      </c>
    </row>
    <row r="270" spans="2:25" x14ac:dyDescent="0.25">
      <c r="B270" s="143" t="s">
        <v>0</v>
      </c>
      <c r="C270" s="100">
        <f>$C$37/1000</f>
        <v>0.39</v>
      </c>
      <c r="D270" s="100">
        <f>$D$37/1000</f>
        <v>0.15</v>
      </c>
      <c r="E270" s="100">
        <f>$E$37/1000</f>
        <v>0.1</v>
      </c>
      <c r="F270" s="101">
        <f>1*(D270+E270)+0.035</f>
        <v>0.28500000000000003</v>
      </c>
      <c r="G270" s="101">
        <f>2*(C270+0.7*(E270)+0.055)</f>
        <v>1.03</v>
      </c>
      <c r="H270" s="83" t="str">
        <f>H269</f>
        <v>Matt Lamination</v>
      </c>
      <c r="I270" s="121">
        <f>I49</f>
        <v>1000</v>
      </c>
      <c r="J270" s="122" t="b">
        <f>AND(F270&gt;=0.318,F270&lt;=0.698,G270&gt;=0.533,G270&lt;=1.025)</f>
        <v>0</v>
      </c>
      <c r="K270" s="122">
        <f>IF(J270,1,0)</f>
        <v>0</v>
      </c>
      <c r="L270" s="69">
        <f>IF(J270=TRUE,I270/K270,0)</f>
        <v>0</v>
      </c>
      <c r="M270" s="169">
        <f>IF(J270=FALSE,0,IF(S270&lt;=100,100,CEILING(S270,1)))</f>
        <v>0</v>
      </c>
      <c r="N270" s="4">
        <f>IF(J270=FALSE,0,IF(T270&lt;=100,100,CEILING(T270,1)))</f>
        <v>0</v>
      </c>
      <c r="O270" s="13">
        <f>IF(TRIM(H270)="Plain without Lamination",0,(IF(J270=FALSE,0,IF(S270&lt;=50,50,CEILING(S270,1)))+IF(J270=FALSE,0,IF(T270&lt;=50,50,CEILING(T270,1))))/2)</f>
        <v>0</v>
      </c>
      <c r="Q270" s="178">
        <f t="array" ref="Q270">Q261*IFERROR(INDEX(X261:X271,MATCH(1,(Q261&gt;=V260:V271)*(Q261&lt;=W260:W271),0)),"")</f>
        <v>166.72499999999999</v>
      </c>
      <c r="S270" s="150">
        <f>(F270*G270*L270*1550*0.0004)</f>
        <v>0</v>
      </c>
      <c r="T270" s="150">
        <f>F270*G270*1550*0.00042*L270</f>
        <v>0</v>
      </c>
      <c r="V270" s="4">
        <v>350001</v>
      </c>
      <c r="W270" s="4">
        <v>500000</v>
      </c>
      <c r="X270" s="134">
        <v>0.76</v>
      </c>
    </row>
    <row r="271" spans="2:25" x14ac:dyDescent="0.25">
      <c r="B271" s="82"/>
      <c r="C271" s="100">
        <f>$C$37/1000</f>
        <v>0.39</v>
      </c>
      <c r="D271" s="100">
        <f>$D$37/1000</f>
        <v>0.15</v>
      </c>
      <c r="E271" s="100">
        <f>$E$37/1000</f>
        <v>0.1</v>
      </c>
      <c r="F271" s="101">
        <f>1*(D271+E271)+0.035</f>
        <v>0.28500000000000003</v>
      </c>
      <c r="G271" s="101">
        <f>2*(C271+0.7*(E271)+0.055)</f>
        <v>1.03</v>
      </c>
      <c r="H271" s="83" t="str">
        <f>H269</f>
        <v>Matt Lamination</v>
      </c>
      <c r="I271" s="121">
        <f>I50</f>
        <v>2000</v>
      </c>
      <c r="J271" s="122" t="b">
        <f>AND(F271&gt;=0.318,F271&lt;=0.698,G271&gt;=0.533,G271&lt;=1.025)</f>
        <v>0</v>
      </c>
      <c r="K271" s="122">
        <f>IF(J271,1,0)</f>
        <v>0</v>
      </c>
      <c r="L271" s="69">
        <f>IF(J271=TRUE,I271/K271,0)</f>
        <v>0</v>
      </c>
      <c r="M271" s="169">
        <f>IF(J271=FALSE,0,IF(S271&lt;=100,100,CEILING(S271,1)))</f>
        <v>0</v>
      </c>
      <c r="N271" s="4">
        <f>IF(J271=FALSE,0,IF(T271&lt;=100,100,CEILING(T271,1)))</f>
        <v>0</v>
      </c>
      <c r="O271" s="13">
        <f>IF(TRIM(H271)="Plain without Lamination",0,(IF(J271=FALSE,0,IF(S271&lt;=50,50,CEILING(S271,1)))+IF(J271=FALSE,0,IF(T271&lt;=50,50,CEILING(T271,1))))/2)</f>
        <v>0</v>
      </c>
      <c r="Q271" s="178">
        <f t="array" ref="Q271">Q262*IFERROR(INDEX(X260:X271,MATCH(1,(Q262&gt;=V260:V271)*(Q262&lt;=W260:W271),0)),"")</f>
        <v>350.5</v>
      </c>
      <c r="S271" s="150">
        <f>(F271*G271*L271*1550*0.0004)</f>
        <v>0</v>
      </c>
      <c r="T271" s="150">
        <f>F271*G271*1550*0.00042*L271</f>
        <v>0</v>
      </c>
      <c r="V271" s="4">
        <v>500001</v>
      </c>
      <c r="W271" s="4">
        <v>1000000</v>
      </c>
      <c r="X271" s="134">
        <v>0.74</v>
      </c>
    </row>
    <row r="272" spans="2:25" x14ac:dyDescent="0.25">
      <c r="B272" s="82"/>
      <c r="C272" s="100">
        <f>$C$37/1000</f>
        <v>0.39</v>
      </c>
      <c r="D272" s="100">
        <f>$D$37/1000</f>
        <v>0.15</v>
      </c>
      <c r="E272" s="100">
        <f>$E$37/1000</f>
        <v>0.1</v>
      </c>
      <c r="F272" s="101">
        <f>1*(D272+E272)+0.035</f>
        <v>0.28500000000000003</v>
      </c>
      <c r="G272" s="101">
        <f>2*(C272+0.7*(E272)+0.055)</f>
        <v>1.03</v>
      </c>
      <c r="H272" s="83" t="str">
        <f>H269</f>
        <v>Matt Lamination</v>
      </c>
      <c r="I272" s="121">
        <f>I51</f>
        <v>3000</v>
      </c>
      <c r="J272" s="122" t="b">
        <f>AND(F272&gt;=0.318,F272&lt;=0.698,G272&gt;=0.533,G272&lt;=1.025)</f>
        <v>0</v>
      </c>
      <c r="K272" s="122">
        <f>IF(J272,1,0)</f>
        <v>0</v>
      </c>
      <c r="L272" s="69">
        <f>IF(J272=TRUE,I272/K272,0)</f>
        <v>0</v>
      </c>
      <c r="M272" s="169">
        <f>IF(J272=FALSE,0,IF(S272&lt;=100,100,CEILING(S272,1)))</f>
        <v>0</v>
      </c>
      <c r="N272" s="4">
        <f>IF(J272=FALSE,0,IF(T272&lt;=100,100,CEILING(T272,1)))</f>
        <v>0</v>
      </c>
      <c r="O272" s="13">
        <f>IF(TRIM(H272)="Plain without Lamination",0,(IF(J272=FALSE,0,IF(S272&lt;=50,50,CEILING(S272,1)))+IF(J272=FALSE,0,IF(T272&lt;=50,50,CEILING(T272,1))))/2)</f>
        <v>0</v>
      </c>
      <c r="Q272" s="178">
        <f t="array" ref="Q272">Q263*IFERROR(INDEX(X260:X271,MATCH(1,(Q263&gt;=V260:V271)*(Q263&lt;=W260:W271),0)),"")</f>
        <v>526</v>
      </c>
      <c r="S272" s="150">
        <f>(F272*G272*L272*1550*0.0004)</f>
        <v>0</v>
      </c>
      <c r="T272" s="150">
        <f>F272*G272*1550*0.00042*L272</f>
        <v>0</v>
      </c>
      <c r="V272" s="4"/>
      <c r="W272" s="4"/>
      <c r="X272" s="4"/>
    </row>
    <row r="273" spans="2:24" x14ac:dyDescent="0.25">
      <c r="B273" s="82"/>
      <c r="C273" s="100">
        <f>$C$37/1000</f>
        <v>0.39</v>
      </c>
      <c r="D273" s="100">
        <f>$D$37/1000</f>
        <v>0.15</v>
      </c>
      <c r="E273" s="100">
        <f>$E$37/1000</f>
        <v>0.1</v>
      </c>
      <c r="F273" s="101">
        <f>1*(D273+E273)+0.035</f>
        <v>0.28500000000000003</v>
      </c>
      <c r="G273" s="101">
        <f>2*(C273+0.7*(E273)+0.055)</f>
        <v>1.03</v>
      </c>
      <c r="H273" s="83" t="str">
        <f>H269</f>
        <v>Matt Lamination</v>
      </c>
      <c r="I273" s="121">
        <f>I52</f>
        <v>4000</v>
      </c>
      <c r="J273" s="122" t="b">
        <f>AND(F273&gt;=0.318,F273&lt;=0.698,G273&gt;=0.533,G273&lt;=1.025)</f>
        <v>0</v>
      </c>
      <c r="K273" s="122">
        <f>IF(J273,1,0)</f>
        <v>0</v>
      </c>
      <c r="L273" s="69">
        <f>IF(J273=TRUE,I273/K273,0)</f>
        <v>0</v>
      </c>
      <c r="M273" s="169">
        <f>IF(J273=FALSE,0,IF(S273&lt;=100,100,CEILING(S273,1)))</f>
        <v>0</v>
      </c>
      <c r="N273" s="4">
        <f>IF(J273=FALSE,0,IF(T273&lt;=100,100,CEILING(T273,1)))</f>
        <v>0</v>
      </c>
      <c r="O273" s="13">
        <f>IF(TRIM(H273)="Plain without Lamination",0,(IF(J273=FALSE,0,IF(S273&lt;=50,50,CEILING(S273,1)))+IF(J273=FALSE,0,IF(T273&lt;=50,50,CEILING(T273,1))))/2)</f>
        <v>0</v>
      </c>
      <c r="Q273" s="178">
        <f t="array" ref="Q273">Q264*IFERROR(INDEX(X260:X271,MATCH(1,(Q264&gt;=V260:V271)*(Q264&lt;=W260:W271),0)),"")</f>
        <v>701</v>
      </c>
      <c r="S273" s="150">
        <f>(F273*G273*L273*1550*0.0004)</f>
        <v>0</v>
      </c>
      <c r="T273" s="150">
        <f>F273*G273*1550*0.00042*L273</f>
        <v>0</v>
      </c>
      <c r="V273" s="4"/>
      <c r="W273" s="4"/>
      <c r="X273" s="4"/>
    </row>
    <row r="274" spans="2:24" x14ac:dyDescent="0.25">
      <c r="V274" s="4"/>
      <c r="W274" s="4"/>
      <c r="X274" s="4"/>
    </row>
    <row r="275" spans="2:24" ht="15.75" thickBot="1" x14ac:dyDescent="0.3">
      <c r="V275" s="4"/>
      <c r="W275" s="4"/>
      <c r="X275" s="4"/>
    </row>
    <row r="276" spans="2:24" ht="15.75" thickBot="1" x14ac:dyDescent="0.3">
      <c r="B276" s="82" t="s">
        <v>0</v>
      </c>
      <c r="C276" s="83">
        <f>C258</f>
        <v>390</v>
      </c>
      <c r="D276" s="115">
        <f>D258</f>
        <v>150</v>
      </c>
      <c r="E276" s="83">
        <f>E258</f>
        <v>100</v>
      </c>
      <c r="F276" s="116">
        <f>C276+0.5*E276+23</f>
        <v>463</v>
      </c>
      <c r="G276" s="117">
        <v>113</v>
      </c>
      <c r="H276" s="118">
        <v>358.77499999999998</v>
      </c>
      <c r="I276" s="82"/>
      <c r="V276" s="4"/>
      <c r="W276" s="4"/>
      <c r="X276" s="4"/>
    </row>
    <row r="277" spans="2:24" ht="30" x14ac:dyDescent="0.25">
      <c r="B277" s="82"/>
      <c r="C277" s="82"/>
      <c r="D277" s="82"/>
      <c r="E277" s="82"/>
      <c r="F277" s="229" t="s">
        <v>117</v>
      </c>
      <c r="G277" s="230"/>
      <c r="H277" s="162" t="s">
        <v>199</v>
      </c>
      <c r="I277" s="86" t="s">
        <v>86</v>
      </c>
      <c r="J277" s="4" t="s">
        <v>113</v>
      </c>
      <c r="K277" s="4"/>
      <c r="L277" s="93" t="s">
        <v>152</v>
      </c>
      <c r="M277" s="153" t="s">
        <v>185</v>
      </c>
      <c r="N277" s="154" t="s">
        <v>186</v>
      </c>
      <c r="O277" s="93" t="s">
        <v>187</v>
      </c>
      <c r="V277" s="4"/>
      <c r="W277" s="4"/>
      <c r="X277" s="4"/>
    </row>
    <row r="278" spans="2:24" x14ac:dyDescent="0.25">
      <c r="B278" s="82"/>
      <c r="C278" s="83" t="s">
        <v>5</v>
      </c>
      <c r="D278" s="83" t="s">
        <v>6</v>
      </c>
      <c r="E278" s="83" t="s">
        <v>7</v>
      </c>
      <c r="F278" s="83" t="s">
        <v>115</v>
      </c>
      <c r="G278" s="83" t="s">
        <v>110</v>
      </c>
      <c r="H278" s="147" t="str">
        <f>H260</f>
        <v>Matt Lamination</v>
      </c>
      <c r="I278" s="83"/>
      <c r="J278" s="85" t="s">
        <v>111</v>
      </c>
      <c r="K278" s="85"/>
      <c r="L278" s="85"/>
      <c r="M278" s="4"/>
      <c r="N278" s="172"/>
      <c r="O278" s="4"/>
      <c r="V278" s="4"/>
      <c r="W278" s="4"/>
      <c r="X278" s="4"/>
    </row>
    <row r="279" spans="2:24" x14ac:dyDescent="0.25">
      <c r="B279" s="143" t="s">
        <v>0</v>
      </c>
      <c r="C279" s="100">
        <f>$C$37/1000</f>
        <v>0.39</v>
      </c>
      <c r="D279" s="100">
        <f>$D$37/1000</f>
        <v>0.15</v>
      </c>
      <c r="E279" s="100">
        <f>$E$37/1000</f>
        <v>0.1</v>
      </c>
      <c r="F279" s="101">
        <f>D279+E279+0.035</f>
        <v>0.28500000000000003</v>
      </c>
      <c r="G279" s="101">
        <f>C279+0.7*(E279)+0.055</f>
        <v>0.51500000000000001</v>
      </c>
      <c r="H279" s="83" t="str">
        <f>H261</f>
        <v>Matt Lamination</v>
      </c>
      <c r="I279" s="121">
        <f>I58</f>
        <v>1000</v>
      </c>
      <c r="J279" s="122" t="b">
        <f>OR(AND(F279&gt;=0.318,F279&lt;=0.698,G279&gt;=0.533,G279&lt;=1.025),AND(F279&gt;=0.533,F279&lt;=1.025,G279&gt;=0.318,G279&lt;=0.698))</f>
        <v>0</v>
      </c>
      <c r="K279" s="123">
        <f>IF(J279,0.5,0)</f>
        <v>0</v>
      </c>
      <c r="L279" s="69">
        <f>IF(J279=TRUE,I279/K279,0)</f>
        <v>0</v>
      </c>
      <c r="M279" s="169">
        <f>IF(J279=FALSE,0,IF(S279&lt;=100,100,CEILING(S279,1)))</f>
        <v>0</v>
      </c>
      <c r="N279" s="4">
        <f>IF(J279=FALSE,0,IF(T279&lt;=100,100,CEILING(T279,1)))</f>
        <v>0</v>
      </c>
      <c r="O279" s="13">
        <f>IF(TRIM(H279)="Plain without Lamination",0,(IF(J279=FALSE,0,IF(S279&lt;=50,50,CEILING(S279,1)))+IF(J279=FALSE,0,IF(T279&lt;=50,50,CEILING(T279,1))))/2)</f>
        <v>0</v>
      </c>
      <c r="S279" s="150">
        <f>(F279*G279*L279*1550*0.0004)</f>
        <v>0</v>
      </c>
      <c r="T279" s="150">
        <f>F279*G279*1550*0.00042*L279</f>
        <v>0</v>
      </c>
      <c r="V279" s="4"/>
      <c r="W279" s="4"/>
      <c r="X279" s="4"/>
    </row>
    <row r="280" spans="2:24" x14ac:dyDescent="0.25">
      <c r="B280" s="82"/>
      <c r="C280" s="100">
        <f>$C$37/1000</f>
        <v>0.39</v>
      </c>
      <c r="D280" s="100">
        <f>$D$37/1000</f>
        <v>0.15</v>
      </c>
      <c r="E280" s="100">
        <f>$E$37/1000</f>
        <v>0.1</v>
      </c>
      <c r="F280" s="101">
        <f>D280+E280+0.035</f>
        <v>0.28500000000000003</v>
      </c>
      <c r="G280" s="101">
        <f>C280+0.7*(E280)+0.055</f>
        <v>0.51500000000000001</v>
      </c>
      <c r="H280" s="83" t="str">
        <f>H262</f>
        <v>Matt Lamination</v>
      </c>
      <c r="I280" s="121">
        <f>I59</f>
        <v>2000</v>
      </c>
      <c r="J280" s="122" t="b">
        <f>OR(AND(F280&gt;=0.318,F280&lt;=0.698,G280&gt;=0.533,G280&lt;=1.025),AND(F280&gt;=0.533,F280&lt;=1.025,G280&gt;=0.318,G280&lt;=0.698))</f>
        <v>0</v>
      </c>
      <c r="K280" s="123">
        <f>IF(J280,0.5,0)</f>
        <v>0</v>
      </c>
      <c r="L280" s="69">
        <f>IF(J280=TRUE,I280/K280,0)</f>
        <v>0</v>
      </c>
      <c r="M280" s="169">
        <f>IF(J280=FALSE,0,IF(S280&lt;=100,100,CEILING(S280,1)))</f>
        <v>0</v>
      </c>
      <c r="N280" s="4">
        <f>IF(J280=FALSE,0,IF(T280&lt;=100,100,CEILING(T280,1)))</f>
        <v>0</v>
      </c>
      <c r="O280" s="13">
        <f>IF(TRIM(H280)="Plain without Lamination",0,(IF(J280=FALSE,0,IF(S280&lt;=50,50,CEILING(S280,1)))+IF(J280=FALSE,0,IF(T280&lt;=50,50,CEILING(T280,1))))/2)</f>
        <v>0</v>
      </c>
      <c r="S280" s="150">
        <f>(F280*G280*L280*1550*0.0004)</f>
        <v>0</v>
      </c>
      <c r="T280" s="150">
        <f>F280*G280*1550*0.00042*L280</f>
        <v>0</v>
      </c>
      <c r="V280" s="4"/>
      <c r="W280" s="4"/>
      <c r="X280" s="4"/>
    </row>
    <row r="281" spans="2:24" x14ac:dyDescent="0.25">
      <c r="B281" s="82"/>
      <c r="C281" s="100">
        <f>$C$37/1000</f>
        <v>0.39</v>
      </c>
      <c r="D281" s="100">
        <f>$D$37/1000</f>
        <v>0.15</v>
      </c>
      <c r="E281" s="100">
        <f>$E$37/1000</f>
        <v>0.1</v>
      </c>
      <c r="F281" s="101">
        <f>D281+E281+0.035</f>
        <v>0.28500000000000003</v>
      </c>
      <c r="G281" s="101">
        <f>C281+0.7*(E281)+0.055</f>
        <v>0.51500000000000001</v>
      </c>
      <c r="H281" s="83" t="str">
        <f>H263</f>
        <v>Matt Lamination</v>
      </c>
      <c r="I281" s="121">
        <f>I60</f>
        <v>3000</v>
      </c>
      <c r="J281" s="122" t="b">
        <f>OR(AND(F281&gt;=0.318,F281&lt;=0.698,G281&gt;=0.533,G281&lt;=1.025),AND(F281&gt;=0.533,F281&lt;=1.025,G281&gt;=0.318,G281&lt;=0.698))</f>
        <v>0</v>
      </c>
      <c r="K281" s="123">
        <f>IF(J281,0.5,0)</f>
        <v>0</v>
      </c>
      <c r="L281" s="69">
        <f>IF(J281=TRUE,I281/K281,0)</f>
        <v>0</v>
      </c>
      <c r="M281" s="169">
        <f>IF(J281=FALSE,0,IF(S281&lt;=100,100,CEILING(S281,1)))</f>
        <v>0</v>
      </c>
      <c r="N281" s="4">
        <f>IF(J281=FALSE,0,IF(T281&lt;=100,100,CEILING(T281,1)))</f>
        <v>0</v>
      </c>
      <c r="O281" s="13">
        <f>IF(TRIM(H281)="Plain without Lamination",0,(IF(J281=FALSE,0,IF(S281&lt;=50,50,CEILING(S281,1)))+IF(J281=FALSE,0,IF(T281&lt;=50,50,CEILING(T281,1))))/2)</f>
        <v>0</v>
      </c>
      <c r="S281" s="150">
        <f>(F281*G281*L281*1550*0.0004)</f>
        <v>0</v>
      </c>
      <c r="T281" s="150">
        <f>F281*G281*1550*0.00042*L281</f>
        <v>0</v>
      </c>
      <c r="V281" s="4"/>
      <c r="W281" s="4"/>
      <c r="X281" s="4"/>
    </row>
    <row r="282" spans="2:24" x14ac:dyDescent="0.25">
      <c r="B282" s="82"/>
      <c r="C282" s="100">
        <f>$C$37/1000</f>
        <v>0.39</v>
      </c>
      <c r="D282" s="100">
        <f>$D$37/1000</f>
        <v>0.15</v>
      </c>
      <c r="E282" s="100">
        <f>$E$37/1000</f>
        <v>0.1</v>
      </c>
      <c r="F282" s="101">
        <f>D282+E282+0.035</f>
        <v>0.28500000000000003</v>
      </c>
      <c r="G282" s="101">
        <f>C282+0.7*(E282)+0.055</f>
        <v>0.51500000000000001</v>
      </c>
      <c r="H282" s="83" t="str">
        <f>H264</f>
        <v>Matt Lamination</v>
      </c>
      <c r="I282" s="121">
        <f>I61</f>
        <v>4000</v>
      </c>
      <c r="J282" s="122" t="b">
        <f>OR(AND(F282&gt;=0.318,F282&lt;=0.698,G282&gt;=0.533,G282&lt;=1.025),AND(F282&gt;=0.533,F282&lt;=1.025,G282&gt;=0.318,G282&lt;=0.698))</f>
        <v>0</v>
      </c>
      <c r="K282" s="123">
        <f>IF(J282,0.5,0)</f>
        <v>0</v>
      </c>
      <c r="L282" s="69">
        <f>IF(J282=TRUE,I282/K282,0)</f>
        <v>0</v>
      </c>
      <c r="M282" s="169">
        <f>IF(J282=FALSE,0,IF(S282&lt;=100,100,CEILING(S282,1)))</f>
        <v>0</v>
      </c>
      <c r="N282" s="4">
        <f>IF(J282=FALSE,0,IF(T282&lt;=100,100,CEILING(T282,1)))</f>
        <v>0</v>
      </c>
      <c r="O282" s="13">
        <f>IF(TRIM(H282)="Plain without Lamination",0,(IF(J282=FALSE,0,IF(S282&lt;=50,50,CEILING(S282,1)))+IF(J282=FALSE,0,IF(T282&lt;=50,50,CEILING(T282,1))))/2)</f>
        <v>0</v>
      </c>
      <c r="S282" s="150">
        <f>(F282*G282*L282*1550*0.0004)</f>
        <v>0</v>
      </c>
      <c r="T282" s="150">
        <f>F282*G282*1550*0.00042*L282</f>
        <v>0</v>
      </c>
      <c r="V282" s="4"/>
      <c r="W282" s="4"/>
      <c r="X282" s="4"/>
    </row>
    <row r="283" spans="2:24" x14ac:dyDescent="0.25">
      <c r="V283" s="4"/>
      <c r="W283" s="4"/>
      <c r="X283" s="4"/>
    </row>
    <row r="284" spans="2:24" ht="15.75" thickBot="1" x14ac:dyDescent="0.3"/>
    <row r="285" spans="2:24" ht="15.75" thickBot="1" x14ac:dyDescent="0.3">
      <c r="B285" s="82" t="s">
        <v>0</v>
      </c>
      <c r="C285" s="83">
        <f>C258</f>
        <v>390</v>
      </c>
      <c r="D285" s="115">
        <f>D258</f>
        <v>150</v>
      </c>
      <c r="E285" s="83">
        <f>E258</f>
        <v>100</v>
      </c>
      <c r="F285" s="116">
        <f>C285+0.5*E285+23</f>
        <v>463</v>
      </c>
      <c r="G285" s="117">
        <v>113</v>
      </c>
      <c r="H285" s="126">
        <v>358.77499999999998</v>
      </c>
      <c r="I285" s="82"/>
    </row>
    <row r="286" spans="2:24" ht="30" x14ac:dyDescent="0.25">
      <c r="B286" s="82"/>
      <c r="C286" s="82"/>
      <c r="D286" s="82"/>
      <c r="E286" s="82"/>
      <c r="F286" s="229" t="s">
        <v>119</v>
      </c>
      <c r="G286" s="231"/>
      <c r="H286" s="162" t="s">
        <v>199</v>
      </c>
      <c r="I286" s="86" t="s">
        <v>86</v>
      </c>
      <c r="J286" s="87" t="s">
        <v>87</v>
      </c>
      <c r="K286" s="4" t="s">
        <v>88</v>
      </c>
      <c r="L286" s="93" t="s">
        <v>152</v>
      </c>
      <c r="M286" s="153" t="s">
        <v>185</v>
      </c>
      <c r="N286" s="154" t="s">
        <v>186</v>
      </c>
      <c r="O286" s="93" t="s">
        <v>187</v>
      </c>
    </row>
    <row r="287" spans="2:24" x14ac:dyDescent="0.25">
      <c r="B287" s="82"/>
      <c r="C287" s="83" t="s">
        <v>5</v>
      </c>
      <c r="D287" s="83" t="s">
        <v>6</v>
      </c>
      <c r="E287" s="83" t="s">
        <v>7</v>
      </c>
      <c r="F287" s="83" t="s">
        <v>109</v>
      </c>
      <c r="G287" s="83" t="s">
        <v>121</v>
      </c>
      <c r="H287" s="147" t="str">
        <f>H260</f>
        <v>Matt Lamination</v>
      </c>
      <c r="I287" s="83"/>
      <c r="J287" s="85" t="s">
        <v>111</v>
      </c>
      <c r="L287" s="85"/>
      <c r="M287" s="4"/>
      <c r="N287" s="165"/>
      <c r="O287" s="4"/>
    </row>
    <row r="288" spans="2:24" x14ac:dyDescent="0.25">
      <c r="B288" s="143" t="s">
        <v>0</v>
      </c>
      <c r="C288" s="100">
        <f>C285/1000</f>
        <v>0.39</v>
      </c>
      <c r="D288" s="100">
        <f>D285/1000</f>
        <v>0.15</v>
      </c>
      <c r="E288" s="100">
        <f>E285/1000</f>
        <v>0.1</v>
      </c>
      <c r="F288" s="101">
        <f>2*(D288+E288)+0.035</f>
        <v>0.53500000000000003</v>
      </c>
      <c r="G288" s="101">
        <f>2*(C288+0.7*(E288)+0.055)</f>
        <v>1.03</v>
      </c>
      <c r="H288" s="83" t="str">
        <f>H261</f>
        <v>Matt Lamination</v>
      </c>
      <c r="I288" s="121">
        <f>I67</f>
        <v>1000</v>
      </c>
      <c r="J288" s="104" t="b">
        <f>OR(AND(F288&gt;=0.3,F288&lt;=0.698,G288&gt;=0.42,G288&lt;=1.025),AND(F288&gt;=0.42,F288&lt;=1.025,G288&gt;=0.3,G288&lt;=0.698))</f>
        <v>0</v>
      </c>
      <c r="K288" s="104">
        <f>IF(J288,2,0)</f>
        <v>0</v>
      </c>
      <c r="L288" s="69">
        <f>IF(J288=TRUE,I288/K288,0)</f>
        <v>0</v>
      </c>
      <c r="M288" s="169">
        <f>IF(J288=FALSE,0,IF(S288&lt;=100,100,CEILING(S288,1)))</f>
        <v>0</v>
      </c>
      <c r="N288" s="4">
        <f>IF(J288=FALSE,0,IF(T288&lt;=100,100,CEILING(T288,1)))</f>
        <v>0</v>
      </c>
      <c r="O288" s="13">
        <f>IF(TRIM(H288)="Plain without Lamination",0,(IF(J288=FALSE,0,IF(S288&lt;=50,50,CEILING(S288,1)))+IF(J288=FALSE,0,IF(T288&lt;=50,50,CEILING(T288,1))))/2)</f>
        <v>0</v>
      </c>
      <c r="S288" s="150">
        <f>(F288*G288*L288*1550*0.0004)</f>
        <v>0</v>
      </c>
      <c r="T288" s="150">
        <f>F288*G288*1550*0.00042*L288</f>
        <v>0</v>
      </c>
    </row>
    <row r="289" spans="1:26" x14ac:dyDescent="0.25">
      <c r="B289" s="82"/>
      <c r="C289" s="83">
        <f>C288</f>
        <v>0.39</v>
      </c>
      <c r="D289" s="83">
        <f>D288</f>
        <v>0.15</v>
      </c>
      <c r="E289" s="83">
        <f>E288</f>
        <v>0.1</v>
      </c>
      <c r="F289" s="101">
        <f>2*(D289+E289)+0.035</f>
        <v>0.53500000000000003</v>
      </c>
      <c r="G289" s="101">
        <f>2*(C289+0.7*(E289)+0.055)</f>
        <v>1.03</v>
      </c>
      <c r="H289" s="83" t="str">
        <f>H262</f>
        <v>Matt Lamination</v>
      </c>
      <c r="I289" s="121">
        <f>I68</f>
        <v>2000</v>
      </c>
      <c r="J289" s="104" t="b">
        <f>OR(AND(F289&gt;=0.3,F289&lt;=0.698,G289&gt;=0.42,G289&lt;=1.025),AND(F289&gt;=0.42,F289&lt;=1.025,G289&gt;=0.3,G289&lt;=0.698))</f>
        <v>0</v>
      </c>
      <c r="K289" s="104">
        <f>IF(J289,2,0)</f>
        <v>0</v>
      </c>
      <c r="L289" s="69">
        <f>IF(J289=TRUE,I289/K289,0)</f>
        <v>0</v>
      </c>
      <c r="M289" s="169">
        <f>IF(J289=FALSE,0,IF(S289&lt;=100,100,CEILING(S289,1)))</f>
        <v>0</v>
      </c>
      <c r="N289" s="4">
        <f>IF(J289=FALSE,0,IF(T289&lt;=100,100,CEILING(T289,1)))</f>
        <v>0</v>
      </c>
      <c r="O289" s="13">
        <f>IF(TRIM(H289)="Plain without Lamination",0,(IF(J289=FALSE,0,IF(S289&lt;=50,50,CEILING(S289,1)))+IF(J289=FALSE,0,IF(T289&lt;=50,50,CEILING(T289,1))))/2)</f>
        <v>0</v>
      </c>
      <c r="S289" s="150">
        <f>(F289*G289*L289*1550*0.0004)</f>
        <v>0</v>
      </c>
      <c r="T289" s="150">
        <f>F289*G289*1550*0.00042*L289</f>
        <v>0</v>
      </c>
    </row>
    <row r="290" spans="1:26" x14ac:dyDescent="0.25">
      <c r="B290" s="82"/>
      <c r="C290" s="83">
        <f t="shared" ref="C290:E291" si="14">C288</f>
        <v>0.39</v>
      </c>
      <c r="D290" s="83">
        <f t="shared" si="14"/>
        <v>0.15</v>
      </c>
      <c r="E290" s="83">
        <f t="shared" si="14"/>
        <v>0.1</v>
      </c>
      <c r="F290" s="101">
        <f>2*(D290+E290)+0.035</f>
        <v>0.53500000000000003</v>
      </c>
      <c r="G290" s="101">
        <f>2*(C290+0.7*(E290)+0.055)</f>
        <v>1.03</v>
      </c>
      <c r="H290" s="83" t="str">
        <f>H263</f>
        <v>Matt Lamination</v>
      </c>
      <c r="I290" s="121">
        <f>I69</f>
        <v>3000</v>
      </c>
      <c r="J290" s="104" t="b">
        <f>OR(AND(F290&gt;=0.3,F290&lt;=0.698,G290&gt;=0.42,G290&lt;=1.025),AND(F290&gt;=0.42,F290&lt;=1.025,G290&gt;=0.3,G290&lt;=0.698))</f>
        <v>0</v>
      </c>
      <c r="K290" s="104">
        <f>IF(J290,2,0)</f>
        <v>0</v>
      </c>
      <c r="L290" s="69">
        <f>IF(J290=TRUE,I290/K290,0)</f>
        <v>0</v>
      </c>
      <c r="M290" s="169">
        <f>IF(J290=FALSE,0,IF(S290&lt;=100,100,CEILING(S290,1)))</f>
        <v>0</v>
      </c>
      <c r="N290" s="4">
        <f>IF(J290=FALSE,0,IF(T290&lt;=100,100,CEILING(T290,1)))</f>
        <v>0</v>
      </c>
      <c r="O290" s="13">
        <f>IF(TRIM(H290)="Plain without Lamination",0,(IF(J290=FALSE,0,IF(S290&lt;=50,50,CEILING(S290,1)))+IF(J290=FALSE,0,IF(T290&lt;=50,50,CEILING(T290,1))))/2)</f>
        <v>0</v>
      </c>
      <c r="S290" s="150">
        <f>(F290*G290*L290*1550*0.0004)</f>
        <v>0</v>
      </c>
      <c r="T290" s="150">
        <f>F290*G290*1550*0.00042*L290</f>
        <v>0</v>
      </c>
    </row>
    <row r="291" spans="1:26" x14ac:dyDescent="0.25">
      <c r="B291" s="82"/>
      <c r="C291" s="83">
        <f t="shared" si="14"/>
        <v>0.39</v>
      </c>
      <c r="D291" s="83">
        <f t="shared" si="14"/>
        <v>0.15</v>
      </c>
      <c r="E291" s="83">
        <f t="shared" si="14"/>
        <v>0.1</v>
      </c>
      <c r="F291" s="101">
        <f>2*(D291+E291)+0.035</f>
        <v>0.53500000000000003</v>
      </c>
      <c r="G291" s="101">
        <f>2*(C291+0.7*(E291)+0.055)</f>
        <v>1.03</v>
      </c>
      <c r="H291" s="83" t="str">
        <f>H264</f>
        <v>Matt Lamination</v>
      </c>
      <c r="I291" s="121">
        <f>I70</f>
        <v>4000</v>
      </c>
      <c r="J291" s="104" t="b">
        <f>OR(AND(F291&gt;=0.3,F291&lt;=0.698,G291&gt;=0.42,G291&lt;=1.025),AND(F291&gt;=0.42,F291&lt;=1.025,G291&gt;=0.3,G291&lt;=0.698))</f>
        <v>0</v>
      </c>
      <c r="K291" s="104">
        <f>IF(J291,2,0)</f>
        <v>0</v>
      </c>
      <c r="L291" s="69">
        <f>IF(J291=TRUE,I291/K291,0)</f>
        <v>0</v>
      </c>
      <c r="M291" s="169">
        <f>IF(J291=FALSE,0,IF(S291&lt;=100,100,CEILING(S291,1)))</f>
        <v>0</v>
      </c>
      <c r="N291" s="4">
        <f>IF(J291=FALSE,0,IF(T291&lt;=100,100,CEILING(T291,1)))</f>
        <v>0</v>
      </c>
      <c r="O291" s="13">
        <f>IF(TRIM(H291)="Plain without Lamination",0,(IF(J291=FALSE,0,IF(S291&lt;=50,50,CEILING(S291,1)))+IF(J291=FALSE,0,IF(T291&lt;=50,50,CEILING(T291,1))))/2)</f>
        <v>0</v>
      </c>
      <c r="S291" s="150">
        <f>(F291*G291*L291*1550*0.0004)</f>
        <v>0</v>
      </c>
      <c r="T291" s="150">
        <f>F291*G291*1550*0.00042*L291</f>
        <v>0</v>
      </c>
    </row>
    <row r="294" spans="1:26" s="173" customFormat="1" ht="18.75" x14ac:dyDescent="0.3">
      <c r="A294" s="232" t="s">
        <v>202</v>
      </c>
      <c r="B294" s="232"/>
      <c r="C294" s="232"/>
      <c r="D294" s="232"/>
      <c r="E294" s="232"/>
      <c r="F294" s="232"/>
      <c r="N294" s="232" t="s">
        <v>202</v>
      </c>
      <c r="O294" s="232"/>
      <c r="P294" s="232"/>
      <c r="Q294" s="232"/>
      <c r="R294" s="232"/>
      <c r="S294" s="232"/>
      <c r="U294" s="232" t="s">
        <v>202</v>
      </c>
      <c r="V294" s="232"/>
      <c r="W294" s="232"/>
      <c r="X294" s="232"/>
      <c r="Y294" s="232"/>
      <c r="Z294" s="232"/>
    </row>
    <row r="296" spans="1:26" x14ac:dyDescent="0.25">
      <c r="N296" s="50" t="s">
        <v>203</v>
      </c>
      <c r="Q296" s="241" t="s">
        <v>204</v>
      </c>
      <c r="R296" s="242"/>
      <c r="S296" s="242"/>
      <c r="T296" s="242"/>
      <c r="U296" s="242"/>
      <c r="V296" s="242"/>
      <c r="W296" s="242"/>
      <c r="X296" s="242"/>
      <c r="Y296" s="243"/>
    </row>
    <row r="297" spans="1:26" ht="18.75" x14ac:dyDescent="0.3">
      <c r="B297" s="152" t="s">
        <v>205</v>
      </c>
      <c r="C297" s="152"/>
      <c r="D297" s="152"/>
      <c r="E297" s="152"/>
      <c r="F297" s="152"/>
      <c r="G297" s="152"/>
      <c r="H297" s="152"/>
      <c r="N297" s="50" t="s">
        <v>206</v>
      </c>
      <c r="Q297" s="244"/>
      <c r="R297" s="245"/>
      <c r="S297" s="245"/>
      <c r="T297" s="245"/>
      <c r="U297" s="245"/>
      <c r="V297" s="245"/>
      <c r="W297" s="245"/>
      <c r="X297" s="245"/>
      <c r="Y297" s="246"/>
    </row>
    <row r="298" spans="1:26" ht="15.75" thickBot="1" x14ac:dyDescent="0.3">
      <c r="N298" s="50" t="s">
        <v>50</v>
      </c>
    </row>
    <row r="299" spans="1:26" ht="15.75" thickBot="1" x14ac:dyDescent="0.3">
      <c r="B299" s="82" t="s">
        <v>0</v>
      </c>
      <c r="C299" s="83">
        <f>C37</f>
        <v>390</v>
      </c>
      <c r="D299" s="115">
        <f>D37</f>
        <v>150</v>
      </c>
      <c r="E299" s="83">
        <f>E37</f>
        <v>100</v>
      </c>
      <c r="F299" s="116">
        <f>C299+0.5*E299+23</f>
        <v>463</v>
      </c>
      <c r="G299" s="117">
        <v>113</v>
      </c>
      <c r="H299" s="126">
        <v>358.77499999999998</v>
      </c>
      <c r="I299" s="82"/>
      <c r="S299" s="247" t="s">
        <v>195</v>
      </c>
      <c r="T299" s="236" t="s">
        <v>194</v>
      </c>
      <c r="V299" s="236" t="s">
        <v>207</v>
      </c>
      <c r="W299" s="236" t="s">
        <v>208</v>
      </c>
      <c r="X299" s="236" t="s">
        <v>198</v>
      </c>
    </row>
    <row r="300" spans="1:26" ht="30.75" thickBot="1" x14ac:dyDescent="0.3">
      <c r="B300" s="82"/>
      <c r="C300" s="82"/>
      <c r="D300" s="82"/>
      <c r="E300" s="82"/>
      <c r="F300" s="227" t="s">
        <v>85</v>
      </c>
      <c r="G300" s="228"/>
      <c r="H300" s="162" t="s">
        <v>209</v>
      </c>
      <c r="I300" s="86" t="s">
        <v>86</v>
      </c>
      <c r="J300" s="87" t="s">
        <v>87</v>
      </c>
      <c r="K300" s="4" t="s">
        <v>88</v>
      </c>
      <c r="L300" s="93" t="s">
        <v>152</v>
      </c>
      <c r="M300" s="153" t="s">
        <v>185</v>
      </c>
      <c r="N300" s="154" t="s">
        <v>186</v>
      </c>
      <c r="O300" s="93" t="s">
        <v>187</v>
      </c>
      <c r="Q300" s="163" t="s">
        <v>210</v>
      </c>
      <c r="S300" s="248"/>
      <c r="T300" s="238"/>
      <c r="V300" s="238"/>
      <c r="W300" s="238"/>
      <c r="X300" s="238"/>
    </row>
    <row r="301" spans="1:26" ht="15.75" thickBot="1" x14ac:dyDescent="0.3">
      <c r="B301" s="82"/>
      <c r="C301" s="83" t="s">
        <v>5</v>
      </c>
      <c r="D301" s="83" t="s">
        <v>6</v>
      </c>
      <c r="E301" s="83" t="s">
        <v>7</v>
      </c>
      <c r="F301" s="83" t="s">
        <v>109</v>
      </c>
      <c r="G301" s="83" t="s">
        <v>110</v>
      </c>
      <c r="H301" s="164" t="str">
        <f>E14</f>
        <v>No</v>
      </c>
      <c r="I301" s="83"/>
      <c r="J301" s="85" t="s">
        <v>111</v>
      </c>
      <c r="L301" s="85"/>
      <c r="M301" s="4" t="s">
        <v>189</v>
      </c>
      <c r="N301" s="165"/>
      <c r="O301" s="4"/>
      <c r="V301" s="220">
        <v>0</v>
      </c>
      <c r="W301" s="220">
        <v>49.9</v>
      </c>
      <c r="X301" s="220">
        <v>0</v>
      </c>
      <c r="Y301" s="24"/>
    </row>
    <row r="302" spans="1:26" x14ac:dyDescent="0.25">
      <c r="B302" s="143" t="s">
        <v>0</v>
      </c>
      <c r="C302" s="100">
        <f>$C$37/1000</f>
        <v>0.39</v>
      </c>
      <c r="D302" s="100">
        <f>$D$37/1000</f>
        <v>0.15</v>
      </c>
      <c r="E302" s="100">
        <f>$E$37/1000</f>
        <v>0.1</v>
      </c>
      <c r="F302" s="101">
        <f>2*(D302+E302)+0.035</f>
        <v>0.53500000000000003</v>
      </c>
      <c r="G302" s="101">
        <f>C302+0.7*(E302)+0.055</f>
        <v>0.51500000000000001</v>
      </c>
      <c r="H302" s="83" t="str">
        <f>H301</f>
        <v>No</v>
      </c>
      <c r="I302" s="121">
        <f>I40</f>
        <v>1000</v>
      </c>
      <c r="J302" s="104" t="b">
        <f>AND(F302&gt;=0.533,F302&lt;=1.025,G302&gt;=0.318,G302&lt;=0.698)</f>
        <v>1</v>
      </c>
      <c r="K302" s="104">
        <f>IF(J302,1,0)</f>
        <v>1</v>
      </c>
      <c r="L302" s="69">
        <f>IF(J302=TRUE,I302/K302,0)</f>
        <v>1000</v>
      </c>
      <c r="M302" s="166">
        <f>IF(J302=FALSE,0,IF(S302&lt;=100,100,CEILING(S302,1)))</f>
        <v>193</v>
      </c>
      <c r="N302" s="4">
        <f>IF(J302=FALSE,0,IF(T302&lt;=100,100,CEILING(T302,1)))</f>
        <v>193</v>
      </c>
      <c r="O302" s="13">
        <f>IF(TRIM(H302)="No",0,(IF(J302=FALSE,0,IF(S302&lt;=100,100,CEILING(S302,1)))+IF(J302=FALSE,0,IF(T302&lt;=100,100,CEILING(T302,1))))/2)</f>
        <v>0</v>
      </c>
      <c r="Q302" s="174">
        <f>SUM(O302,O311,O320,O329)/MAX(1,SUM((O302&gt;0)+(O311&gt;0)+(O320&gt;0)+(O329&gt;0)))</f>
        <v>0</v>
      </c>
      <c r="S302" s="150">
        <f>(F302*G302*L302*1550*0.00045)</f>
        <v>192.17868750000002</v>
      </c>
      <c r="T302" s="150">
        <f>F302*G302*1550*0.00045*L302</f>
        <v>192.1786875</v>
      </c>
      <c r="V302" s="4">
        <v>50</v>
      </c>
      <c r="W302" s="4">
        <v>1000</v>
      </c>
      <c r="X302" s="134">
        <v>1</v>
      </c>
    </row>
    <row r="303" spans="1:26" x14ac:dyDescent="0.25">
      <c r="B303" s="82"/>
      <c r="C303" s="100">
        <f>$C$37/1000</f>
        <v>0.39</v>
      </c>
      <c r="D303" s="100">
        <f>$D$37/1000</f>
        <v>0.15</v>
      </c>
      <c r="E303" s="100">
        <f>$E$37/1000</f>
        <v>0.1</v>
      </c>
      <c r="F303" s="101">
        <f>2*(D303+E303)+0.035</f>
        <v>0.53500000000000003</v>
      </c>
      <c r="G303" s="101">
        <f>C303+0.7*(E303)+0.055</f>
        <v>0.51500000000000001</v>
      </c>
      <c r="H303" s="83" t="str">
        <f>H301</f>
        <v>No</v>
      </c>
      <c r="I303" s="121">
        <f>I41</f>
        <v>2000</v>
      </c>
      <c r="J303" s="104" t="b">
        <f>AND(F303&gt;=0.533,F303&lt;=1.025,G303&gt;=0.318,G303&lt;=0.698)</f>
        <v>1</v>
      </c>
      <c r="K303" s="104">
        <f>IF(J303,1,0)</f>
        <v>1</v>
      </c>
      <c r="L303" s="69">
        <f>IF(J303=TRUE,I303/K303,0)</f>
        <v>2000</v>
      </c>
      <c r="M303" s="169">
        <f>IF(J303=FALSE,0,IF(S303&lt;=100,100,CEILING(S303,1)))</f>
        <v>385</v>
      </c>
      <c r="N303" s="4">
        <f>IF(J303=FALSE,0,IF(T303&lt;=100,100,CEILING(T303,1)))</f>
        <v>385</v>
      </c>
      <c r="O303" s="13">
        <f>IF(TRIM(H303)="No",0,(IF(J303=FALSE,0,IF(S303&lt;=100,100,CEILING(S303,1)))+IF(J303=FALSE,0,IF(T303&lt;=100,100,CEILING(T303,1))))/2)</f>
        <v>0</v>
      </c>
      <c r="Q303" s="175">
        <f>SUM(O303,O312,O321,O330)/MAX(1,SUM((O303&gt;0)+(O312&gt;0)+(O321&gt;0)+(O330&gt;0)))</f>
        <v>0</v>
      </c>
      <c r="S303" s="150">
        <f>(F303*G303*L303*1550*0.00045)</f>
        <v>384.35737500000005</v>
      </c>
      <c r="T303" s="150">
        <f>F303*G303*1550*0.00045*L303</f>
        <v>384.35737499999999</v>
      </c>
      <c r="V303" s="4">
        <v>1001</v>
      </c>
      <c r="W303" s="4">
        <v>3000</v>
      </c>
      <c r="X303" s="134">
        <v>0.95</v>
      </c>
    </row>
    <row r="304" spans="1:26" x14ac:dyDescent="0.25">
      <c r="B304" s="82"/>
      <c r="C304" s="100">
        <f>$C$37/1000</f>
        <v>0.39</v>
      </c>
      <c r="D304" s="100">
        <f>$D$37/1000</f>
        <v>0.15</v>
      </c>
      <c r="E304" s="100">
        <f>$E$37/1000</f>
        <v>0.1</v>
      </c>
      <c r="F304" s="101">
        <f>2*(D304+E304)+0.035</f>
        <v>0.53500000000000003</v>
      </c>
      <c r="G304" s="101">
        <f>C304+0.7*(E304)+0.055</f>
        <v>0.51500000000000001</v>
      </c>
      <c r="H304" s="83" t="str">
        <f>H301</f>
        <v>No</v>
      </c>
      <c r="I304" s="121">
        <f>I42</f>
        <v>3000</v>
      </c>
      <c r="J304" s="104" t="b">
        <f>AND(F304&gt;=0.533,F304&lt;=1.025,G304&gt;=0.318,G304&lt;=0.698)</f>
        <v>1</v>
      </c>
      <c r="K304" s="104">
        <f>IF(J304,1,0)</f>
        <v>1</v>
      </c>
      <c r="L304" s="69">
        <f>IF(J304=TRUE,I304/K304,0)</f>
        <v>3000</v>
      </c>
      <c r="M304" s="169">
        <f>IF(J304=FALSE,0,IF(S304&lt;=100,100,CEILING(S304,1)))</f>
        <v>577</v>
      </c>
      <c r="N304" s="4">
        <f>IF(J304=FALSE,0,IF(T304&lt;=100,100,CEILING(T304,1)))</f>
        <v>577</v>
      </c>
      <c r="O304" s="13">
        <f>IF(TRIM(H304)="No",0,(IF(J304=FALSE,0,IF(S304&lt;=100,100,CEILING(S304,1)))+IF(J304=FALSE,0,IF(T304&lt;=100,100,CEILING(T304,1))))/2)</f>
        <v>0</v>
      </c>
      <c r="Q304" s="175">
        <f>SUM(O304,O313,O322,O331)/MAX(1,SUM((O304&gt;0)+(O313&gt;0)+(O322&gt;0)+(O331&gt;0)))</f>
        <v>0</v>
      </c>
      <c r="S304" s="150">
        <f>(F304*G304*L304*1550*0.00045)</f>
        <v>576.53606249999996</v>
      </c>
      <c r="T304" s="150">
        <f>F304*G304*1550*0.00045*L304</f>
        <v>576.53606249999996</v>
      </c>
      <c r="V304" s="4">
        <v>3001</v>
      </c>
      <c r="W304" s="4">
        <v>6000</v>
      </c>
      <c r="X304" s="134">
        <v>0.92</v>
      </c>
    </row>
    <row r="305" spans="2:25" ht="15.75" thickBot="1" x14ac:dyDescent="0.3">
      <c r="B305" s="82"/>
      <c r="C305" s="100">
        <f>$C$37/1000</f>
        <v>0.39</v>
      </c>
      <c r="D305" s="100">
        <f>$D$37/1000</f>
        <v>0.15</v>
      </c>
      <c r="E305" s="100">
        <f>$E$37/1000</f>
        <v>0.1</v>
      </c>
      <c r="F305" s="101">
        <f>2*(D305+E305)+0.035</f>
        <v>0.53500000000000003</v>
      </c>
      <c r="G305" s="101">
        <f>C305+0.7*(E305)+0.055</f>
        <v>0.51500000000000001</v>
      </c>
      <c r="H305" s="83" t="str">
        <f>H301</f>
        <v>No</v>
      </c>
      <c r="I305" s="121">
        <f>I43</f>
        <v>4000</v>
      </c>
      <c r="J305" s="104" t="b">
        <f>AND(F305&gt;=0.533,F305&lt;=1.025,G305&gt;=0.318,G305&lt;=0.698)</f>
        <v>1</v>
      </c>
      <c r="K305" s="104">
        <f>IF(J305,1,0)</f>
        <v>1</v>
      </c>
      <c r="L305" s="69">
        <f>IF(J305=TRUE,I305/K305,0)</f>
        <v>4000</v>
      </c>
      <c r="M305" s="169">
        <f>IF(J305=FALSE,0,IF(S305&lt;=100,100,CEILING(S305,1)))</f>
        <v>769</v>
      </c>
      <c r="N305" s="4">
        <f>IF(J305=FALSE,0,IF(T305&lt;=100,100,CEILING(T305,1)))</f>
        <v>769</v>
      </c>
      <c r="O305" s="13">
        <f>IF(TRIM(H305)="No",0,(IF(J305=FALSE,0,IF(S305&lt;=100,100,CEILING(S305,1)))+IF(J305=FALSE,0,IF(T305&lt;=100,100,CEILING(T305,1))))/2)</f>
        <v>0</v>
      </c>
      <c r="Q305" s="176">
        <f>SUM(O305,O314,O323,O332)/MAX(1,SUM((O305&gt;0)+(O314&gt;0)+(O323&gt;0)+(O332&gt;0)))</f>
        <v>0</v>
      </c>
      <c r="S305" s="150">
        <f>(F305*G305*L305*1550*0.00045)</f>
        <v>768.71475000000009</v>
      </c>
      <c r="T305" s="150">
        <f>F305*G305*1550*0.00045*L305</f>
        <v>768.71474999999998</v>
      </c>
      <c r="V305" s="4">
        <v>6001</v>
      </c>
      <c r="W305" s="4">
        <v>10000</v>
      </c>
      <c r="X305" s="134">
        <v>0.9</v>
      </c>
    </row>
    <row r="306" spans="2:25" x14ac:dyDescent="0.25">
      <c r="V306" s="4">
        <v>10001</v>
      </c>
      <c r="W306" s="4">
        <v>20000</v>
      </c>
      <c r="X306" s="134">
        <v>0.88</v>
      </c>
    </row>
    <row r="307" spans="2:25" ht="15.75" thickBot="1" x14ac:dyDescent="0.3">
      <c r="V307" s="4">
        <v>20001</v>
      </c>
      <c r="W307" s="4">
        <v>50000</v>
      </c>
      <c r="X307" s="134">
        <v>0.86</v>
      </c>
      <c r="Y307" s="24"/>
    </row>
    <row r="308" spans="2:25" ht="15.75" thickBot="1" x14ac:dyDescent="0.3">
      <c r="B308" s="82" t="s">
        <v>0</v>
      </c>
      <c r="C308" s="83">
        <f>C299</f>
        <v>390</v>
      </c>
      <c r="D308" s="115">
        <f>D299</f>
        <v>150</v>
      </c>
      <c r="E308" s="83">
        <f>E299</f>
        <v>100</v>
      </c>
      <c r="F308" s="116">
        <f>C308+0.5*E308+23</f>
        <v>463</v>
      </c>
      <c r="G308" s="117">
        <v>113</v>
      </c>
      <c r="H308" s="118">
        <v>358.77499999999998</v>
      </c>
      <c r="I308" s="82"/>
      <c r="V308" s="4">
        <v>50001</v>
      </c>
      <c r="W308" s="4">
        <v>100000</v>
      </c>
      <c r="X308" s="134">
        <v>0.82</v>
      </c>
    </row>
    <row r="309" spans="2:25" ht="30" x14ac:dyDescent="0.25">
      <c r="B309" s="82"/>
      <c r="C309" s="82"/>
      <c r="D309" s="82"/>
      <c r="E309" s="82"/>
      <c r="F309" s="229" t="s">
        <v>112</v>
      </c>
      <c r="G309" s="230"/>
      <c r="H309" s="162" t="s">
        <v>209</v>
      </c>
      <c r="I309" s="119" t="s">
        <v>86</v>
      </c>
      <c r="J309" s="4" t="s">
        <v>113</v>
      </c>
      <c r="K309" s="4"/>
      <c r="L309" s="93" t="s">
        <v>152</v>
      </c>
      <c r="M309" s="153" t="s">
        <v>185</v>
      </c>
      <c r="N309" s="154" t="s">
        <v>186</v>
      </c>
      <c r="O309" s="93" t="s">
        <v>187</v>
      </c>
      <c r="V309" s="4">
        <v>100001</v>
      </c>
      <c r="W309" s="4">
        <v>200000</v>
      </c>
      <c r="X309" s="134">
        <v>0.8</v>
      </c>
    </row>
    <row r="310" spans="2:25" x14ac:dyDescent="0.25">
      <c r="B310" s="82"/>
      <c r="C310" s="83" t="s">
        <v>5</v>
      </c>
      <c r="D310" s="83" t="s">
        <v>6</v>
      </c>
      <c r="E310" s="83" t="s">
        <v>7</v>
      </c>
      <c r="F310" s="83" t="s">
        <v>115</v>
      </c>
      <c r="G310" s="83" t="s">
        <v>116</v>
      </c>
      <c r="H310" s="177" t="str">
        <f>H301</f>
        <v>No</v>
      </c>
      <c r="I310" s="83"/>
      <c r="J310" s="85" t="s">
        <v>111</v>
      </c>
      <c r="K310" s="85"/>
      <c r="L310" s="85"/>
      <c r="M310" s="4"/>
      <c r="N310" s="165"/>
      <c r="O310" s="4"/>
      <c r="Q310" s="8" t="s">
        <v>211</v>
      </c>
      <c r="V310" s="4">
        <v>200001</v>
      </c>
      <c r="W310" s="4">
        <v>350000</v>
      </c>
      <c r="X310" s="134">
        <v>0.78</v>
      </c>
    </row>
    <row r="311" spans="2:25" x14ac:dyDescent="0.25">
      <c r="B311" s="143" t="s">
        <v>0</v>
      </c>
      <c r="C311" s="100">
        <f>$C$37/1000</f>
        <v>0.39</v>
      </c>
      <c r="D311" s="100">
        <f>$D$37/1000</f>
        <v>0.15</v>
      </c>
      <c r="E311" s="100">
        <f>$E$37/1000</f>
        <v>0.1</v>
      </c>
      <c r="F311" s="101">
        <f>1*(D311+E311)+0.035</f>
        <v>0.28500000000000003</v>
      </c>
      <c r="G311" s="101">
        <f>2*(C311+0.7*(E311)+0.055)</f>
        <v>1.03</v>
      </c>
      <c r="H311" s="83" t="str">
        <f>H310</f>
        <v>No</v>
      </c>
      <c r="I311" s="121">
        <f>I40</f>
        <v>1000</v>
      </c>
      <c r="J311" s="122" t="b">
        <f>AND(F311&gt;=0.318,F311&lt;=0.698,G311&gt;=0.533,G311&lt;=1.025)</f>
        <v>0</v>
      </c>
      <c r="K311" s="122">
        <f>IF(J311,1,0)</f>
        <v>0</v>
      </c>
      <c r="L311" s="69">
        <f>IF(J311=TRUE,I311/K311,0)</f>
        <v>0</v>
      </c>
      <c r="M311" s="169">
        <f>IF(J311=FALSE,0,IF(S311&lt;=100,100,CEILING(S311,1)))</f>
        <v>0</v>
      </c>
      <c r="N311" s="4">
        <f>IF(J311=FALSE,0,IF(T311&lt;=100,100,CEILING(T311,1)))</f>
        <v>0</v>
      </c>
      <c r="O311" s="13">
        <f>IF(TRIM(H311)="No",0,(IF(J311=FALSE,0,IF(S311&lt;=100,100,CEILING(S311,1)))+IF(J311=FALSE,0,IF(T311&lt;=100,100,CEILING(T311,1))))/2)</f>
        <v>0</v>
      </c>
      <c r="Q311" s="178">
        <f t="array" ref="Q311">Q302*IFERROR(INDEX(X300:X311,MATCH(1,(Q302&gt;=V300:V311)*(Q302&lt;=W300:W311),0)),"")</f>
        <v>0</v>
      </c>
      <c r="S311" s="150">
        <f>(F311*G311*L311*1550*0.00045)</f>
        <v>0</v>
      </c>
      <c r="T311" s="150">
        <f>F311*G311*1550*0.00045*L311</f>
        <v>0</v>
      </c>
      <c r="V311" s="4">
        <v>350001</v>
      </c>
      <c r="W311" s="4">
        <v>500000</v>
      </c>
      <c r="X311" s="134">
        <v>0.76</v>
      </c>
    </row>
    <row r="312" spans="2:25" x14ac:dyDescent="0.25">
      <c r="B312" s="82"/>
      <c r="C312" s="100">
        <f>$C$37/1000</f>
        <v>0.39</v>
      </c>
      <c r="D312" s="100">
        <f>$D$37/1000</f>
        <v>0.15</v>
      </c>
      <c r="E312" s="100">
        <f>$E$37/1000</f>
        <v>0.1</v>
      </c>
      <c r="F312" s="101">
        <f>1*(D312+E312)+0.035</f>
        <v>0.28500000000000003</v>
      </c>
      <c r="G312" s="101">
        <f>2*(C312+0.7*(E312)+0.055)</f>
        <v>1.03</v>
      </c>
      <c r="H312" s="83" t="str">
        <f>H310</f>
        <v>No</v>
      </c>
      <c r="I312" s="121">
        <f>I41</f>
        <v>2000</v>
      </c>
      <c r="J312" s="122" t="b">
        <f>AND(F312&gt;=0.318,F312&lt;=0.698,G312&gt;=0.533,G312&lt;=1.025)</f>
        <v>0</v>
      </c>
      <c r="K312" s="122">
        <f>IF(J312,1,0)</f>
        <v>0</v>
      </c>
      <c r="L312" s="69">
        <f>IF(J312=TRUE,I312/K312,0)</f>
        <v>0</v>
      </c>
      <c r="M312" s="169">
        <f>IF(J312=FALSE,0,IF(S312&lt;=100,100,CEILING(S312,1)))</f>
        <v>0</v>
      </c>
      <c r="N312" s="4">
        <f>IF(J312=FALSE,0,IF(T312&lt;=100,100,CEILING(T312,1)))</f>
        <v>0</v>
      </c>
      <c r="O312" s="13">
        <f>IF(TRIM(H312)="No",0,(IF(J312=FALSE,0,IF(S312&lt;=100,100,CEILING(S312,1)))+IF(J312=FALSE,0,IF(T312&lt;=100,100,CEILING(T312,1))))/2)</f>
        <v>0</v>
      </c>
      <c r="Q312" s="178">
        <f t="array" ref="Q312">Q303*IFERROR(INDEX(X301:X312,MATCH(1,(Q303&gt;=V301:V312)*(Q303&lt;=W301:W312),0)),"")</f>
        <v>0</v>
      </c>
      <c r="S312" s="150">
        <f>(F312*G312*L312*1550*0.00045)</f>
        <v>0</v>
      </c>
      <c r="T312" s="150">
        <f>F312*G312*1550*0.00045*L312</f>
        <v>0</v>
      </c>
      <c r="V312" s="4">
        <v>500001</v>
      </c>
      <c r="W312" s="4">
        <v>1000000</v>
      </c>
      <c r="X312" s="134">
        <v>0.74</v>
      </c>
    </row>
    <row r="313" spans="2:25" x14ac:dyDescent="0.25">
      <c r="B313" s="82"/>
      <c r="C313" s="100">
        <f>$C$37/1000</f>
        <v>0.39</v>
      </c>
      <c r="D313" s="100">
        <f>$D$37/1000</f>
        <v>0.15</v>
      </c>
      <c r="E313" s="100">
        <f>$E$37/1000</f>
        <v>0.1</v>
      </c>
      <c r="F313" s="101">
        <f>1*(D313+E313)+0.035</f>
        <v>0.28500000000000003</v>
      </c>
      <c r="G313" s="101">
        <f>2*(C313+0.7*(E313)+0.055)</f>
        <v>1.03</v>
      </c>
      <c r="H313" s="83" t="str">
        <f>H310</f>
        <v>No</v>
      </c>
      <c r="I313" s="121">
        <f>I42</f>
        <v>3000</v>
      </c>
      <c r="J313" s="122" t="b">
        <f>AND(F313&gt;=0.318,F313&lt;=0.698,G313&gt;=0.533,G313&lt;=1.025)</f>
        <v>0</v>
      </c>
      <c r="K313" s="122">
        <f>IF(J313,1,0)</f>
        <v>0</v>
      </c>
      <c r="L313" s="69">
        <f>IF(J313=TRUE,I313/K313,0)</f>
        <v>0</v>
      </c>
      <c r="M313" s="169">
        <f>IF(J313=FALSE,0,IF(S313&lt;=100,100,CEILING(S313,1)))</f>
        <v>0</v>
      </c>
      <c r="N313" s="4">
        <f>IF(J313=FALSE,0,IF(T313&lt;=100,100,CEILING(T313,1)))</f>
        <v>0</v>
      </c>
      <c r="O313" s="13">
        <f>IF(TRIM(H313)="No",0,(IF(J313=FALSE,0,IF(S313&lt;=100,100,CEILING(S313,1)))+IF(J313=FALSE,0,IF(T313&lt;=100,100,CEILING(T313,1))))/2)</f>
        <v>0</v>
      </c>
      <c r="Q313" s="178">
        <f t="array" ref="Q313">Q304*IFERROR(INDEX(X301:X312,MATCH(1,(Q304&gt;=V301:V312)*(Q304&lt;=W301:W312),0)),"")</f>
        <v>0</v>
      </c>
      <c r="S313" s="150">
        <f>(F313*G313*L313*1550*0.00045)</f>
        <v>0</v>
      </c>
      <c r="T313" s="150">
        <f>F313*G313*1550*0.00045*L313</f>
        <v>0</v>
      </c>
      <c r="V313" s="4"/>
      <c r="W313" s="4"/>
      <c r="X313" s="4"/>
    </row>
    <row r="314" spans="2:25" x14ac:dyDescent="0.25">
      <c r="B314" s="82"/>
      <c r="C314" s="100">
        <f>$C$37/1000</f>
        <v>0.39</v>
      </c>
      <c r="D314" s="100">
        <f>$D$37/1000</f>
        <v>0.15</v>
      </c>
      <c r="E314" s="100">
        <f>$E$37/1000</f>
        <v>0.1</v>
      </c>
      <c r="F314" s="101">
        <f>1*(D314+E314)+0.035</f>
        <v>0.28500000000000003</v>
      </c>
      <c r="G314" s="101">
        <f>2*(C314+0.7*(E314)+0.055)</f>
        <v>1.03</v>
      </c>
      <c r="H314" s="83" t="str">
        <f>H310</f>
        <v>No</v>
      </c>
      <c r="I314" s="121">
        <f>I43</f>
        <v>4000</v>
      </c>
      <c r="J314" s="122" t="b">
        <f>AND(F314&gt;=0.318,F314&lt;=0.698,G314&gt;=0.533,G314&lt;=1.025)</f>
        <v>0</v>
      </c>
      <c r="K314" s="122">
        <f>IF(J314,1,0)</f>
        <v>0</v>
      </c>
      <c r="L314" s="69">
        <f>IF(J314=TRUE,I314/K314,0)</f>
        <v>0</v>
      </c>
      <c r="M314" s="169">
        <f>IF(J314=FALSE,0,IF(S314&lt;=100,100,CEILING(S314,1)))</f>
        <v>0</v>
      </c>
      <c r="N314" s="4">
        <f>IF(J314=FALSE,0,IF(T314&lt;=100,100,CEILING(T314,1)))</f>
        <v>0</v>
      </c>
      <c r="O314" s="13">
        <f>IF(TRIM(H314)="No",0,(IF(J314=FALSE,0,IF(S314&lt;=100,100,CEILING(S314,1)))+IF(J314=FALSE,0,IF(T314&lt;=100,100,CEILING(T314,1))))/2)</f>
        <v>0</v>
      </c>
      <c r="Q314" s="178">
        <f t="array" ref="Q314">Q305*IFERROR(INDEX(X301:X312,MATCH(1,(Q305&gt;=V301:V312)*(Q305&lt;=W301:W312),0)),"")</f>
        <v>0</v>
      </c>
      <c r="S314" s="150">
        <f>(F314*G314*L314*1550*0.00045)</f>
        <v>0</v>
      </c>
      <c r="T314" s="150">
        <f>F314*G314*1550*0.00045*L314</f>
        <v>0</v>
      </c>
      <c r="V314" s="4"/>
      <c r="W314" s="4"/>
      <c r="X314" s="4"/>
    </row>
    <row r="315" spans="2:25" x14ac:dyDescent="0.25">
      <c r="V315" s="4"/>
      <c r="W315" s="4"/>
      <c r="X315" s="4"/>
    </row>
    <row r="316" spans="2:25" ht="15.75" thickBot="1" x14ac:dyDescent="0.3">
      <c r="V316" s="4"/>
      <c r="W316" s="4"/>
      <c r="X316" s="4"/>
    </row>
    <row r="317" spans="2:25" ht="15.75" thickBot="1" x14ac:dyDescent="0.3">
      <c r="B317" s="82" t="s">
        <v>0</v>
      </c>
      <c r="C317" s="83">
        <f>C299</f>
        <v>390</v>
      </c>
      <c r="D317" s="115">
        <f>D299</f>
        <v>150</v>
      </c>
      <c r="E317" s="83">
        <f>E299</f>
        <v>100</v>
      </c>
      <c r="F317" s="116">
        <f>C317+0.5*E317+23</f>
        <v>463</v>
      </c>
      <c r="G317" s="117">
        <v>113</v>
      </c>
      <c r="H317" s="118">
        <v>358.77499999999998</v>
      </c>
      <c r="I317" s="82"/>
      <c r="V317" s="4"/>
      <c r="W317" s="4"/>
      <c r="X317" s="4"/>
    </row>
    <row r="318" spans="2:25" ht="30" x14ac:dyDescent="0.25">
      <c r="B318" s="82"/>
      <c r="C318" s="82"/>
      <c r="D318" s="82"/>
      <c r="E318" s="82"/>
      <c r="F318" s="229" t="s">
        <v>117</v>
      </c>
      <c r="G318" s="230"/>
      <c r="H318" s="162" t="s">
        <v>209</v>
      </c>
      <c r="I318" s="86" t="s">
        <v>86</v>
      </c>
      <c r="J318" s="4" t="s">
        <v>113</v>
      </c>
      <c r="K318" s="4"/>
      <c r="L318" s="93" t="s">
        <v>152</v>
      </c>
      <c r="M318" s="153" t="s">
        <v>185</v>
      </c>
      <c r="N318" s="154" t="s">
        <v>186</v>
      </c>
      <c r="O318" s="93" t="s">
        <v>187</v>
      </c>
      <c r="V318" s="4"/>
      <c r="W318" s="4"/>
      <c r="X318" s="4"/>
    </row>
    <row r="319" spans="2:25" x14ac:dyDescent="0.25">
      <c r="B319" s="82"/>
      <c r="C319" s="83" t="s">
        <v>5</v>
      </c>
      <c r="D319" s="83" t="s">
        <v>6</v>
      </c>
      <c r="E319" s="83" t="s">
        <v>7</v>
      </c>
      <c r="F319" s="83" t="s">
        <v>115</v>
      </c>
      <c r="G319" s="83" t="s">
        <v>110</v>
      </c>
      <c r="H319" s="147"/>
      <c r="I319" s="83"/>
      <c r="J319" s="85" t="s">
        <v>111</v>
      </c>
      <c r="K319" s="85"/>
      <c r="L319" s="85"/>
      <c r="M319" s="4"/>
      <c r="N319" s="172"/>
      <c r="O319" s="4"/>
      <c r="V319" s="4"/>
      <c r="W319" s="4"/>
      <c r="X319" s="4"/>
    </row>
    <row r="320" spans="2:25" x14ac:dyDescent="0.25">
      <c r="B320" s="143" t="s">
        <v>0</v>
      </c>
      <c r="C320" s="100">
        <f>$C$37/1000</f>
        <v>0.39</v>
      </c>
      <c r="D320" s="100">
        <f>$D$37/1000</f>
        <v>0.15</v>
      </c>
      <c r="E320" s="100">
        <f>$E$37/1000</f>
        <v>0.1</v>
      </c>
      <c r="F320" s="101">
        <f>D320+E320+0.035</f>
        <v>0.28500000000000003</v>
      </c>
      <c r="G320" s="101">
        <f>C320+0.7*(E320)+0.055</f>
        <v>0.51500000000000001</v>
      </c>
      <c r="H320" s="83" t="str">
        <f>H302</f>
        <v>No</v>
      </c>
      <c r="I320" s="121">
        <f>I40</f>
        <v>1000</v>
      </c>
      <c r="J320" s="122" t="b">
        <f>OR(AND(F320&gt;=0.318,F320&lt;=0.698,G320&gt;=0.533,G320&lt;=1.025),AND(F320&gt;=0.533,F320&lt;=1.025,G320&gt;=0.318,G320&lt;=0.698))</f>
        <v>0</v>
      </c>
      <c r="K320" s="123">
        <f>IF(J320,0.5,0)</f>
        <v>0</v>
      </c>
      <c r="L320" s="69">
        <f>IF(J320=TRUE,I320/K320,0)</f>
        <v>0</v>
      </c>
      <c r="M320" s="169">
        <f>IF(J320=FALSE,0,IF(S320&lt;=100,100,CEILING(S320,1)))</f>
        <v>0</v>
      </c>
      <c r="N320" s="4">
        <f>IF(J320=FALSE,0,IF(T320&lt;=100,100,CEILING(T320,1)))</f>
        <v>0</v>
      </c>
      <c r="O320" s="13">
        <f>IF(TRIM(H320)="No",0,(IF(J320=FALSE,0,IF(S320&lt;=100,100,CEILING(S320,1)))+IF(J320=FALSE,0,IF(T320&lt;=100,100,CEILING(T320,1))))/2)</f>
        <v>0</v>
      </c>
      <c r="S320" s="150">
        <f>(F320*G320*L320*1550*0.00045)</f>
        <v>0</v>
      </c>
      <c r="T320" s="150">
        <f>F320*G320*1550*0.00045*L320</f>
        <v>0</v>
      </c>
      <c r="V320" s="4"/>
      <c r="W320" s="4"/>
      <c r="X320" s="4"/>
    </row>
    <row r="321" spans="1:24" x14ac:dyDescent="0.25">
      <c r="B321" s="82"/>
      <c r="C321" s="100">
        <f>$C$37/1000</f>
        <v>0.39</v>
      </c>
      <c r="D321" s="100">
        <f>$D$37/1000</f>
        <v>0.15</v>
      </c>
      <c r="E321" s="100">
        <f>$E$37/1000</f>
        <v>0.1</v>
      </c>
      <c r="F321" s="101">
        <f>D321+E321+0.035</f>
        <v>0.28500000000000003</v>
      </c>
      <c r="G321" s="101">
        <f>C321+0.7*(E321)+0.055</f>
        <v>0.51500000000000001</v>
      </c>
      <c r="H321" s="83" t="str">
        <f>H303</f>
        <v>No</v>
      </c>
      <c r="I321" s="121">
        <f>I41</f>
        <v>2000</v>
      </c>
      <c r="J321" s="122" t="b">
        <f>OR(AND(F321&gt;=0.318,F321&lt;=0.698,G321&gt;=0.533,G321&lt;=1.025),AND(F321&gt;=0.533,F321&lt;=1.025,G321&gt;=0.318,G321&lt;=0.698))</f>
        <v>0</v>
      </c>
      <c r="K321" s="123">
        <f>IF(J321,0.5,0)</f>
        <v>0</v>
      </c>
      <c r="L321" s="69">
        <f>IF(J321=TRUE,I321/K321,0)</f>
        <v>0</v>
      </c>
      <c r="M321" s="169">
        <f>IF(J321=FALSE,0,IF(S321&lt;=100,100,CEILING(S321,1)))</f>
        <v>0</v>
      </c>
      <c r="N321" s="4">
        <f>IF(J321=FALSE,0,IF(T321&lt;=100,100,CEILING(T321,1)))</f>
        <v>0</v>
      </c>
      <c r="O321" s="13">
        <f>IF(TRIM(H321)="No",0,(IF(J321=FALSE,0,IF(S321&lt;=100,100,CEILING(S321,1)))+IF(J321=FALSE,0,IF(T321&lt;=100,100,CEILING(T321,1))))/2)</f>
        <v>0</v>
      </c>
      <c r="S321" s="150">
        <f>(F321*G321*L321*1550*0.00045)</f>
        <v>0</v>
      </c>
      <c r="T321" s="150">
        <f>F321*G321*1550*0.00045*L321</f>
        <v>0</v>
      </c>
      <c r="V321" s="4"/>
      <c r="W321" s="4"/>
      <c r="X321" s="4"/>
    </row>
    <row r="322" spans="1:24" x14ac:dyDescent="0.25">
      <c r="B322" s="82"/>
      <c r="C322" s="100">
        <f>$C$37/1000</f>
        <v>0.39</v>
      </c>
      <c r="D322" s="100">
        <f>$D$37/1000</f>
        <v>0.15</v>
      </c>
      <c r="E322" s="100">
        <f>$E$37/1000</f>
        <v>0.1</v>
      </c>
      <c r="F322" s="101">
        <f>D322+E322+0.035</f>
        <v>0.28500000000000003</v>
      </c>
      <c r="G322" s="101">
        <f>C322+0.7*(E322)+0.055</f>
        <v>0.51500000000000001</v>
      </c>
      <c r="H322" s="83" t="str">
        <f>H304</f>
        <v>No</v>
      </c>
      <c r="I322" s="121">
        <f>I42</f>
        <v>3000</v>
      </c>
      <c r="J322" s="122" t="b">
        <f>OR(AND(F322&gt;=0.318,F322&lt;=0.698,G322&gt;=0.533,G322&lt;=1.025),AND(F322&gt;=0.533,F322&lt;=1.025,G322&gt;=0.318,G322&lt;=0.698))</f>
        <v>0</v>
      </c>
      <c r="K322" s="123">
        <f>IF(J322,0.5,0)</f>
        <v>0</v>
      </c>
      <c r="L322" s="69">
        <f>IF(J322=TRUE,I322/K322,0)</f>
        <v>0</v>
      </c>
      <c r="M322" s="169">
        <f>IF(J322=FALSE,0,IF(S322&lt;=100,100,CEILING(S322,1)))</f>
        <v>0</v>
      </c>
      <c r="N322" s="4">
        <f>IF(J322=FALSE,0,IF(T322&lt;=100,100,CEILING(T322,1)))</f>
        <v>0</v>
      </c>
      <c r="O322" s="13">
        <f>IF(TRIM(H322)="No",0,(IF(J322=FALSE,0,IF(S322&lt;=100,100,CEILING(S322,1)))+IF(J322=FALSE,0,IF(T322&lt;=100,100,CEILING(T322,1))))/2)</f>
        <v>0</v>
      </c>
      <c r="S322" s="150">
        <f>(F322*G322*L322*1550*0.00045)</f>
        <v>0</v>
      </c>
      <c r="T322" s="150">
        <f>F322*G322*1550*0.00045*L322</f>
        <v>0</v>
      </c>
      <c r="V322" s="4"/>
      <c r="W322" s="4"/>
      <c r="X322" s="4"/>
    </row>
    <row r="323" spans="1:24" x14ac:dyDescent="0.25">
      <c r="B323" s="82"/>
      <c r="C323" s="100">
        <f>$C$37/1000</f>
        <v>0.39</v>
      </c>
      <c r="D323" s="100">
        <f>$D$37/1000</f>
        <v>0.15</v>
      </c>
      <c r="E323" s="100">
        <f>$E$37/1000</f>
        <v>0.1</v>
      </c>
      <c r="F323" s="101">
        <f>D323+E323+0.035</f>
        <v>0.28500000000000003</v>
      </c>
      <c r="G323" s="101">
        <f>C323+0.7*(E323)+0.055</f>
        <v>0.51500000000000001</v>
      </c>
      <c r="H323" s="83" t="str">
        <f>H305</f>
        <v>No</v>
      </c>
      <c r="I323" s="121">
        <f>I43</f>
        <v>4000</v>
      </c>
      <c r="J323" s="122" t="b">
        <f>OR(AND(F323&gt;=0.318,F323&lt;=0.698,G323&gt;=0.533,G323&lt;=1.025),AND(F323&gt;=0.533,F323&lt;=1.025,G323&gt;=0.318,G323&lt;=0.698))</f>
        <v>0</v>
      </c>
      <c r="K323" s="123">
        <f>IF(J323,0.5,0)</f>
        <v>0</v>
      </c>
      <c r="L323" s="69">
        <f>IF(J323=TRUE,I323/K323,0)</f>
        <v>0</v>
      </c>
      <c r="M323" s="169">
        <f>IF(J323=FALSE,0,IF(S323&lt;=100,100,CEILING(S323,1)))</f>
        <v>0</v>
      </c>
      <c r="N323" s="4">
        <f>IF(J323=FALSE,0,IF(T323&lt;=100,100,CEILING(T323,1)))</f>
        <v>0</v>
      </c>
      <c r="O323" s="13">
        <f>IF(TRIM(H323)="No",0,(IF(J323=FALSE,0,IF(S323&lt;=100,100,CEILING(S323,1)))+IF(J323=FALSE,0,IF(T323&lt;=100,100,CEILING(T323,1))))/2)</f>
        <v>0</v>
      </c>
      <c r="S323" s="150">
        <f>(F323*G323*L323*1550*0.00045)</f>
        <v>0</v>
      </c>
      <c r="T323" s="150">
        <f>F323*G323*1550*0.00045*L323</f>
        <v>0</v>
      </c>
      <c r="V323" s="4"/>
      <c r="W323" s="4"/>
      <c r="X323" s="4"/>
    </row>
    <row r="324" spans="1:24" x14ac:dyDescent="0.25">
      <c r="V324" s="4"/>
      <c r="W324" s="4"/>
      <c r="X324" s="4"/>
    </row>
    <row r="325" spans="1:24" ht="15.75" thickBot="1" x14ac:dyDescent="0.3"/>
    <row r="326" spans="1:24" ht="15.75" thickBot="1" x14ac:dyDescent="0.3">
      <c r="B326" s="82" t="s">
        <v>0</v>
      </c>
      <c r="C326" s="83">
        <f>C299</f>
        <v>390</v>
      </c>
      <c r="D326" s="115">
        <f>D299</f>
        <v>150</v>
      </c>
      <c r="E326" s="83">
        <f>E299</f>
        <v>100</v>
      </c>
      <c r="F326" s="116">
        <f>C326+0.5*E326+23</f>
        <v>463</v>
      </c>
      <c r="G326" s="117">
        <v>113</v>
      </c>
      <c r="H326" s="126">
        <v>358.77499999999998</v>
      </c>
      <c r="I326" s="82"/>
    </row>
    <row r="327" spans="1:24" ht="30" x14ac:dyDescent="0.25">
      <c r="B327" s="82"/>
      <c r="C327" s="82"/>
      <c r="D327" s="82"/>
      <c r="E327" s="82"/>
      <c r="F327" s="229" t="s">
        <v>119</v>
      </c>
      <c r="G327" s="231"/>
      <c r="H327" s="162" t="s">
        <v>209</v>
      </c>
      <c r="I327" s="86" t="s">
        <v>86</v>
      </c>
      <c r="J327" s="87" t="s">
        <v>87</v>
      </c>
      <c r="K327" s="4" t="s">
        <v>88</v>
      </c>
      <c r="L327" s="93" t="s">
        <v>152</v>
      </c>
      <c r="M327" s="153" t="s">
        <v>185</v>
      </c>
      <c r="N327" s="154" t="s">
        <v>186</v>
      </c>
      <c r="O327" s="93" t="s">
        <v>187</v>
      </c>
    </row>
    <row r="328" spans="1:24" x14ac:dyDescent="0.25">
      <c r="B328" s="82"/>
      <c r="C328" s="83" t="s">
        <v>5</v>
      </c>
      <c r="D328" s="83" t="s">
        <v>6</v>
      </c>
      <c r="E328" s="83" t="s">
        <v>7</v>
      </c>
      <c r="F328" s="83" t="s">
        <v>109</v>
      </c>
      <c r="G328" s="83" t="s">
        <v>121</v>
      </c>
      <c r="H328" s="147"/>
      <c r="I328" s="83"/>
      <c r="J328" s="85" t="s">
        <v>111</v>
      </c>
      <c r="L328" s="85"/>
      <c r="M328" s="4"/>
      <c r="N328" s="165"/>
      <c r="O328" s="4"/>
    </row>
    <row r="329" spans="1:24" x14ac:dyDescent="0.25">
      <c r="B329" s="143" t="s">
        <v>0</v>
      </c>
      <c r="C329" s="100">
        <f>C326/1000</f>
        <v>0.39</v>
      </c>
      <c r="D329" s="100">
        <f>D326/1000</f>
        <v>0.15</v>
      </c>
      <c r="E329" s="100">
        <f>E326/1000</f>
        <v>0.1</v>
      </c>
      <c r="F329" s="101">
        <f>2*(D329+E329)+0.035</f>
        <v>0.53500000000000003</v>
      </c>
      <c r="G329" s="101">
        <f>2*(C329+0.7*(E329)+0.055)</f>
        <v>1.03</v>
      </c>
      <c r="H329" s="83" t="str">
        <f>H302</f>
        <v>No</v>
      </c>
      <c r="I329" s="121">
        <f>I40</f>
        <v>1000</v>
      </c>
      <c r="J329" s="104" t="b">
        <f>OR(AND(F329&gt;=0.3,F329&lt;=0.698,G329&gt;=0.42,G329&lt;=1.025),AND(F329&gt;=0.42,F329&lt;=1.025,G329&gt;=0.3,G329&lt;=0.698))</f>
        <v>0</v>
      </c>
      <c r="K329" s="104">
        <f>IF(J329,2,0)</f>
        <v>0</v>
      </c>
      <c r="L329" s="69">
        <f>IF(J329=TRUE,I329/K329,0)</f>
        <v>0</v>
      </c>
      <c r="M329" s="169">
        <f>IF(J329=FALSE,0,IF(S329&lt;=100,100,CEILING(S329,1)))</f>
        <v>0</v>
      </c>
      <c r="N329" s="4">
        <f>IF(J329=FALSE,0,IF(T329&lt;=100,100,CEILING(T329,1)))</f>
        <v>0</v>
      </c>
      <c r="O329" s="13">
        <f>IF(TRIM(H329)="No",0,(IF(J329=FALSE,0,IF(S329&lt;=100,100,CEILING(S329,1)))+IF(J329=FALSE,0,IF(T329&lt;=100,100,CEILING(T329,1))))/2)</f>
        <v>0</v>
      </c>
      <c r="S329" s="150">
        <f>(F329*G329*L329*1550*0.00045)</f>
        <v>0</v>
      </c>
      <c r="T329" s="150">
        <f>F329*G329*1550*0.00045*L329</f>
        <v>0</v>
      </c>
    </row>
    <row r="330" spans="1:24" x14ac:dyDescent="0.25">
      <c r="B330" s="82"/>
      <c r="C330" s="83">
        <f>C329</f>
        <v>0.39</v>
      </c>
      <c r="D330" s="83">
        <f>D329</f>
        <v>0.15</v>
      </c>
      <c r="E330" s="83">
        <f>E329</f>
        <v>0.1</v>
      </c>
      <c r="F330" s="101">
        <f>2*(D330+E330)+0.035</f>
        <v>0.53500000000000003</v>
      </c>
      <c r="G330" s="101">
        <f>2*(C330+0.7*(E330)+0.055)</f>
        <v>1.03</v>
      </c>
      <c r="H330" s="83" t="str">
        <f>H303</f>
        <v>No</v>
      </c>
      <c r="I330" s="121">
        <f>I41</f>
        <v>2000</v>
      </c>
      <c r="J330" s="104" t="b">
        <f>OR(AND(F330&gt;=0.3,F330&lt;=0.698,G330&gt;=0.42,G330&lt;=1.025),AND(F330&gt;=0.42,F330&lt;=1.025,G330&gt;=0.3,G330&lt;=0.698))</f>
        <v>0</v>
      </c>
      <c r="K330" s="104">
        <f>IF(J330,2,0)</f>
        <v>0</v>
      </c>
      <c r="L330" s="69">
        <f>IF(J330=TRUE,I330/K330,0)</f>
        <v>0</v>
      </c>
      <c r="M330" s="169">
        <f>IF(J330=FALSE,0,IF(S330&lt;=100,100,CEILING(S330,1)))</f>
        <v>0</v>
      </c>
      <c r="N330" s="4">
        <f>IF(J330=FALSE,0,IF(T330&lt;=100,100,CEILING(T330,1)))</f>
        <v>0</v>
      </c>
      <c r="O330" s="13">
        <f>IF(TRIM(H330)="No",0,(IF(J330=FALSE,0,IF(S330&lt;=100,100,CEILING(S330,1)))+IF(J330=FALSE,0,IF(T330&lt;=100,100,CEILING(T330,1))))/2)</f>
        <v>0</v>
      </c>
      <c r="S330" s="150">
        <f>(F330*G330*L330*1550*0.00045)</f>
        <v>0</v>
      </c>
      <c r="T330" s="150">
        <f>F330*G330*1550*0.00045*L330</f>
        <v>0</v>
      </c>
    </row>
    <row r="331" spans="1:24" x14ac:dyDescent="0.25">
      <c r="B331" s="82"/>
      <c r="C331" s="83">
        <f t="shared" ref="C331:E332" si="15">C329</f>
        <v>0.39</v>
      </c>
      <c r="D331" s="83">
        <f t="shared" si="15"/>
        <v>0.15</v>
      </c>
      <c r="E331" s="83">
        <f t="shared" si="15"/>
        <v>0.1</v>
      </c>
      <c r="F331" s="101">
        <f>2*(D331+E331)+0.035</f>
        <v>0.53500000000000003</v>
      </c>
      <c r="G331" s="101">
        <f>2*(C331+0.7*(E331)+0.055)</f>
        <v>1.03</v>
      </c>
      <c r="H331" s="83" t="str">
        <f>H304</f>
        <v>No</v>
      </c>
      <c r="I331" s="121">
        <f>I42</f>
        <v>3000</v>
      </c>
      <c r="J331" s="104" t="b">
        <f>OR(AND(F331&gt;=0.3,F331&lt;=0.698,G331&gt;=0.42,G331&lt;=1.025),AND(F331&gt;=0.42,F331&lt;=1.025,G331&gt;=0.3,G331&lt;=0.698))</f>
        <v>0</v>
      </c>
      <c r="K331" s="104">
        <f>IF(J331,2,0)</f>
        <v>0</v>
      </c>
      <c r="L331" s="69">
        <f>IF(J331=TRUE,I331/K331,0)</f>
        <v>0</v>
      </c>
      <c r="M331" s="169">
        <f>IF(J331=FALSE,0,IF(S331&lt;=100,100,CEILING(S331,1)))</f>
        <v>0</v>
      </c>
      <c r="N331" s="4">
        <f>IF(J331=FALSE,0,IF(T331&lt;=100,100,CEILING(T331,1)))</f>
        <v>0</v>
      </c>
      <c r="O331" s="13">
        <f>IF(TRIM(H331)="No",0,(IF(J331=FALSE,0,IF(S331&lt;=100,100,CEILING(S331,1)))+IF(J331=FALSE,0,IF(T331&lt;=100,100,CEILING(T331,1))))/2)</f>
        <v>0</v>
      </c>
      <c r="S331" s="150">
        <f>(F331*G331*L331*1550*0.00045)</f>
        <v>0</v>
      </c>
      <c r="T331" s="150">
        <f>F331*G331*1550*0.00045*L331</f>
        <v>0</v>
      </c>
    </row>
    <row r="332" spans="1:24" x14ac:dyDescent="0.25">
      <c r="B332" s="82"/>
      <c r="C332" s="83">
        <f t="shared" si="15"/>
        <v>0.39</v>
      </c>
      <c r="D332" s="83">
        <f t="shared" si="15"/>
        <v>0.15</v>
      </c>
      <c r="E332" s="83">
        <f t="shared" si="15"/>
        <v>0.1</v>
      </c>
      <c r="F332" s="101">
        <f>2*(D332+E332)+0.035</f>
        <v>0.53500000000000003</v>
      </c>
      <c r="G332" s="101">
        <f>2*(C332+0.7*(E332)+0.055)</f>
        <v>1.03</v>
      </c>
      <c r="H332" s="83" t="str">
        <f>H305</f>
        <v>No</v>
      </c>
      <c r="I332" s="121">
        <f>I43</f>
        <v>4000</v>
      </c>
      <c r="J332" s="104" t="b">
        <f>OR(AND(F332&gt;=0.3,F332&lt;=0.698,G332&gt;=0.42,G332&lt;=1.025),AND(F332&gt;=0.42,F332&lt;=1.025,G332&gt;=0.3,G332&lt;=0.698))</f>
        <v>0</v>
      </c>
      <c r="K332" s="104">
        <f>IF(J332,2,0)</f>
        <v>0</v>
      </c>
      <c r="L332" s="69">
        <f>IF(J332=TRUE,I332/K332,0)</f>
        <v>0</v>
      </c>
      <c r="M332" s="169">
        <f>IF(J332=FALSE,0,IF(S332&lt;=100,100,CEILING(S332,1)))</f>
        <v>0</v>
      </c>
      <c r="N332" s="4">
        <f>IF(J332=FALSE,0,IF(T332&lt;=100,100,CEILING(T332,1)))</f>
        <v>0</v>
      </c>
      <c r="O332" s="13">
        <f>IF(TRIM(H332)="No",0,(IF(J332=FALSE,0,IF(S332&lt;=100,100,CEILING(S332,1)))+IF(J332=FALSE,0,IF(T332&lt;=100,100,CEILING(T332,1))))/2)</f>
        <v>0</v>
      </c>
      <c r="S332" s="150">
        <f>(F332*G332*L332*1550*0.00045)</f>
        <v>0</v>
      </c>
      <c r="T332" s="150">
        <f>F332*G332*1550*0.00045*L332</f>
        <v>0</v>
      </c>
    </row>
    <row r="335" spans="1:24" s="173" customFormat="1" ht="18.75" x14ac:dyDescent="0.3">
      <c r="A335" s="232" t="s">
        <v>212</v>
      </c>
      <c r="B335" s="232"/>
      <c r="C335" s="232"/>
      <c r="D335" s="232"/>
      <c r="E335" s="232"/>
      <c r="F335" s="232"/>
      <c r="J335" s="232" t="s">
        <v>212</v>
      </c>
      <c r="K335" s="232"/>
      <c r="L335" s="232"/>
      <c r="M335" s="232"/>
      <c r="N335" s="232"/>
      <c r="O335" s="232"/>
      <c r="R335" s="232" t="s">
        <v>212</v>
      </c>
      <c r="S335" s="232"/>
      <c r="T335" s="232"/>
      <c r="U335" s="232"/>
      <c r="V335" s="232"/>
      <c r="W335" s="232"/>
    </row>
    <row r="339" spans="14:20" x14ac:dyDescent="0.25">
      <c r="N339" s="179" t="s">
        <v>213</v>
      </c>
      <c r="P339" s="180" t="s">
        <v>214</v>
      </c>
      <c r="Q339" s="131" t="s">
        <v>215</v>
      </c>
    </row>
    <row r="340" spans="14:20" x14ac:dyDescent="0.25">
      <c r="N340" s="179" t="s">
        <v>206</v>
      </c>
      <c r="P340" s="220" t="s">
        <v>216</v>
      </c>
      <c r="Q340" s="6" t="s">
        <v>217</v>
      </c>
    </row>
    <row r="341" spans="14:20" x14ac:dyDescent="0.25">
      <c r="N341" s="179" t="s">
        <v>50</v>
      </c>
      <c r="O341">
        <v>1.5E-3</v>
      </c>
      <c r="P341" s="4" t="s">
        <v>218</v>
      </c>
      <c r="Q341" s="181">
        <v>1.5E-3</v>
      </c>
      <c r="S341" s="131" t="s">
        <v>219</v>
      </c>
    </row>
    <row r="342" spans="14:20" x14ac:dyDescent="0.25">
      <c r="O342">
        <v>2.0999999999999999E-3</v>
      </c>
      <c r="P342" s="4" t="s">
        <v>220</v>
      </c>
      <c r="Q342" s="181">
        <v>2.5000000000000001E-3</v>
      </c>
      <c r="S342" s="6" t="s">
        <v>221</v>
      </c>
    </row>
    <row r="343" spans="14:20" x14ac:dyDescent="0.25">
      <c r="O343">
        <v>1.5E-3</v>
      </c>
      <c r="P343" s="4" t="s">
        <v>222</v>
      </c>
      <c r="Q343" s="181">
        <v>1.5E-3</v>
      </c>
      <c r="S343" s="7" t="s">
        <v>223</v>
      </c>
    </row>
    <row r="344" spans="14:20" x14ac:dyDescent="0.25">
      <c r="O344">
        <v>2.0999999999999999E-3</v>
      </c>
      <c r="P344" s="4" t="s">
        <v>224</v>
      </c>
      <c r="Q344" s="181">
        <v>2.5000000000000001E-3</v>
      </c>
      <c r="S344" s="4">
        <v>6</v>
      </c>
      <c r="T344" s="4"/>
    </row>
    <row r="345" spans="14:20" x14ac:dyDescent="0.25">
      <c r="O345">
        <v>2.0999999999999999E-3</v>
      </c>
      <c r="P345" s="4" t="s">
        <v>225</v>
      </c>
      <c r="Q345" s="181">
        <v>2.5000000000000001E-3</v>
      </c>
      <c r="S345" s="4">
        <v>4</v>
      </c>
      <c r="T345" s="4"/>
    </row>
    <row r="346" spans="14:20" x14ac:dyDescent="0.25">
      <c r="O346">
        <v>4.0000000000000001E-3</v>
      </c>
      <c r="P346" s="4" t="s">
        <v>226</v>
      </c>
      <c r="Q346" s="181">
        <v>2.5000000000000001E-3</v>
      </c>
      <c r="S346" s="4">
        <v>2.2000000000000002</v>
      </c>
      <c r="T346" s="4"/>
    </row>
    <row r="347" spans="14:20" x14ac:dyDescent="0.25">
      <c r="O347">
        <v>2.0999999999999999E-3</v>
      </c>
      <c r="P347" s="4" t="s">
        <v>227</v>
      </c>
      <c r="Q347" s="181">
        <v>2.5000000000000001E-3</v>
      </c>
      <c r="S347" s="4">
        <v>1.8</v>
      </c>
      <c r="T347" s="4"/>
    </row>
    <row r="348" spans="14:20" x14ac:dyDescent="0.25">
      <c r="O348">
        <v>2.0999999999999999E-3</v>
      </c>
      <c r="P348" s="4" t="s">
        <v>41</v>
      </c>
      <c r="Q348" s="181">
        <v>2.5000000000000001E-3</v>
      </c>
      <c r="S348" s="4">
        <v>1.6</v>
      </c>
      <c r="T348" s="4"/>
    </row>
    <row r="349" spans="14:20" x14ac:dyDescent="0.25">
      <c r="O349">
        <v>2.0999999999999999E-3</v>
      </c>
      <c r="P349" s="4" t="s">
        <v>228</v>
      </c>
      <c r="Q349" s="181">
        <v>2.5000000000000001E-3</v>
      </c>
      <c r="S349" s="4">
        <v>1.5</v>
      </c>
      <c r="T349" s="4"/>
    </row>
    <row r="350" spans="14:20" x14ac:dyDescent="0.25">
      <c r="O350">
        <v>2.0999999999999999E-3</v>
      </c>
      <c r="P350" s="4" t="s">
        <v>229</v>
      </c>
      <c r="Q350" s="181">
        <v>2.5000000000000001E-3</v>
      </c>
      <c r="S350" s="4">
        <v>1.3</v>
      </c>
      <c r="T350" s="4"/>
    </row>
    <row r="351" spans="14:20" x14ac:dyDescent="0.25">
      <c r="O351">
        <v>2.5000000000000001E-3</v>
      </c>
      <c r="P351" s="4" t="s">
        <v>230</v>
      </c>
      <c r="Q351" s="181">
        <v>3.0000000000000001E-3</v>
      </c>
      <c r="S351" s="4">
        <v>1</v>
      </c>
      <c r="T351" s="4"/>
    </row>
    <row r="352" spans="14:20" x14ac:dyDescent="0.25">
      <c r="O352">
        <v>4.0000000000000001E-3</v>
      </c>
      <c r="P352" s="4" t="s">
        <v>231</v>
      </c>
      <c r="Q352" s="181">
        <v>4.0000000000000001E-3</v>
      </c>
      <c r="S352" s="4">
        <v>0.95</v>
      </c>
      <c r="T352" s="4"/>
    </row>
    <row r="353" spans="1:20" x14ac:dyDescent="0.25">
      <c r="O353">
        <v>4.0000000000000001E-3</v>
      </c>
      <c r="P353" s="4" t="s">
        <v>232</v>
      </c>
      <c r="Q353" s="181">
        <v>4.0000000000000001E-3</v>
      </c>
      <c r="S353" s="4">
        <v>0.9</v>
      </c>
      <c r="T353" s="4"/>
    </row>
    <row r="354" spans="1:20" x14ac:dyDescent="0.25">
      <c r="S354" s="4">
        <v>0.85</v>
      </c>
      <c r="T354" s="4"/>
    </row>
    <row r="355" spans="1:20" x14ac:dyDescent="0.25">
      <c r="S355" s="4">
        <v>0.8</v>
      </c>
      <c r="T355" s="4"/>
    </row>
    <row r="356" spans="1:20" x14ac:dyDescent="0.25">
      <c r="S356" s="4">
        <v>0.78</v>
      </c>
      <c r="T356" s="4"/>
    </row>
    <row r="357" spans="1:20" x14ac:dyDescent="0.25">
      <c r="S357" s="4">
        <v>0.76</v>
      </c>
      <c r="T357" s="4"/>
    </row>
    <row r="358" spans="1:20" x14ac:dyDescent="0.25">
      <c r="S358" s="4">
        <v>0.74</v>
      </c>
      <c r="T358" s="4"/>
    </row>
    <row r="359" spans="1:20" x14ac:dyDescent="0.25">
      <c r="S359" s="4">
        <v>0.72</v>
      </c>
      <c r="T359" s="4"/>
    </row>
    <row r="360" spans="1:20" x14ac:dyDescent="0.25">
      <c r="H360" s="182"/>
      <c r="I360" s="218"/>
      <c r="J360" s="25"/>
      <c r="S360" s="4">
        <v>0.7</v>
      </c>
      <c r="T360" s="4"/>
    </row>
    <row r="361" spans="1:20" x14ac:dyDescent="0.25">
      <c r="F361" s="183" t="s">
        <v>10</v>
      </c>
      <c r="G361" s="184"/>
      <c r="H361" s="185"/>
      <c r="I361" s="185"/>
      <c r="J361" s="185"/>
      <c r="S361" s="4">
        <v>0.68</v>
      </c>
      <c r="T361" s="4"/>
    </row>
    <row r="362" spans="1:20" x14ac:dyDescent="0.25">
      <c r="A362" s="186" t="s">
        <v>233</v>
      </c>
      <c r="B362" s="187" t="s">
        <v>234</v>
      </c>
      <c r="C362" s="187" t="s">
        <v>235</v>
      </c>
      <c r="D362" s="187">
        <f t="shared" ref="D362:E364" si="16">C13</f>
        <v>0</v>
      </c>
      <c r="E362" s="187">
        <f t="shared" si="16"/>
        <v>0</v>
      </c>
      <c r="F362" s="188" t="s">
        <v>11</v>
      </c>
      <c r="G362" s="184"/>
      <c r="H362" s="185"/>
      <c r="I362" s="185"/>
      <c r="J362" s="185"/>
      <c r="S362" s="4">
        <v>0.66</v>
      </c>
      <c r="T362" s="4"/>
    </row>
    <row r="363" spans="1:20" x14ac:dyDescent="0.25">
      <c r="A363" s="189" t="s">
        <v>236</v>
      </c>
      <c r="B363" s="187" t="s">
        <v>237</v>
      </c>
      <c r="C363" s="187" t="s">
        <v>238</v>
      </c>
      <c r="D363" s="187">
        <f t="shared" si="16"/>
        <v>0</v>
      </c>
      <c r="E363" s="187">
        <f t="shared" si="16"/>
        <v>0</v>
      </c>
      <c r="F363" s="188" t="s">
        <v>12</v>
      </c>
      <c r="G363" s="184"/>
      <c r="H363" s="185"/>
      <c r="I363" s="185"/>
      <c r="J363" s="185"/>
      <c r="S363" s="4">
        <v>0.63</v>
      </c>
      <c r="T363" s="4"/>
    </row>
    <row r="364" spans="1:20" x14ac:dyDescent="0.25">
      <c r="A364" s="190" t="s">
        <v>239</v>
      </c>
      <c r="B364" s="187" t="s">
        <v>240</v>
      </c>
      <c r="C364" s="187" t="s">
        <v>241</v>
      </c>
      <c r="D364" s="187">
        <f t="shared" si="16"/>
        <v>0</v>
      </c>
      <c r="E364" s="187">
        <f t="shared" si="16"/>
        <v>0</v>
      </c>
      <c r="F364" s="188" t="s">
        <v>13</v>
      </c>
      <c r="G364" s="184"/>
      <c r="H364" s="185"/>
      <c r="I364" s="185"/>
      <c r="J364" s="185"/>
    </row>
    <row r="365" spans="1:20" x14ac:dyDescent="0.25">
      <c r="D365" s="191" t="s">
        <v>36</v>
      </c>
    </row>
    <row r="366" spans="1:20" ht="14.45" customHeight="1" x14ac:dyDescent="0.25">
      <c r="C366" s="192" t="s">
        <v>242</v>
      </c>
      <c r="D366" s="193" t="str">
        <f>D12</f>
        <v>Green</v>
      </c>
      <c r="I366" s="131" t="s">
        <v>219</v>
      </c>
      <c r="J366" s="239" t="s">
        <v>243</v>
      </c>
      <c r="K366" s="236" t="s">
        <v>244</v>
      </c>
      <c r="L366" s="236" t="s">
        <v>245</v>
      </c>
      <c r="M366" s="236" t="s">
        <v>246</v>
      </c>
      <c r="N366" s="236" t="s">
        <v>247</v>
      </c>
    </row>
    <row r="367" spans="1:20" x14ac:dyDescent="0.25">
      <c r="A367" s="1" t="s">
        <v>248</v>
      </c>
      <c r="C367" s="194" t="s">
        <v>249</v>
      </c>
      <c r="D367" s="234" t="s">
        <v>250</v>
      </c>
      <c r="E367" s="235"/>
      <c r="F367" s="16" t="s">
        <v>251</v>
      </c>
      <c r="G367" s="17"/>
      <c r="H367" s="195"/>
      <c r="I367" s="6" t="s">
        <v>221</v>
      </c>
      <c r="J367" s="240"/>
      <c r="K367" s="237"/>
      <c r="L367" s="237"/>
      <c r="M367" s="237"/>
      <c r="N367" s="237"/>
    </row>
    <row r="368" spans="1:20" x14ac:dyDescent="0.25">
      <c r="A368" s="7" t="s">
        <v>252</v>
      </c>
      <c r="B368" s="7" t="s">
        <v>253</v>
      </c>
      <c r="C368" s="7"/>
      <c r="D368" s="7" t="s">
        <v>254</v>
      </c>
      <c r="E368" s="7" t="s">
        <v>255</v>
      </c>
      <c r="F368" s="7" t="s">
        <v>254</v>
      </c>
      <c r="G368" s="7" t="s">
        <v>255</v>
      </c>
      <c r="H368" s="7" t="s">
        <v>256</v>
      </c>
      <c r="I368" s="7" t="s">
        <v>223</v>
      </c>
      <c r="J368" s="7" t="s">
        <v>256</v>
      </c>
      <c r="K368" s="238"/>
      <c r="L368" s="238"/>
      <c r="M368" s="238"/>
      <c r="N368" s="238"/>
    </row>
    <row r="369" spans="1:19" x14ac:dyDescent="0.25">
      <c r="A369" s="72">
        <v>100</v>
      </c>
      <c r="B369" s="72">
        <v>199</v>
      </c>
      <c r="C369" s="196">
        <f>IFERROR(VLOOKUP($D$366,$P$341:Q353,2,FALSE),0)</f>
        <v>2.5000000000000001E-3</v>
      </c>
      <c r="D369" s="19">
        <f t="shared" ref="D369:D388" si="17">$D$362</f>
        <v>0</v>
      </c>
      <c r="E369" s="19">
        <f t="shared" ref="E369:E388" si="18">$E$362</f>
        <v>0</v>
      </c>
      <c r="F369" s="4">
        <f t="shared" ref="F369:G388" si="19">D369/25.4+0.5</f>
        <v>0.5</v>
      </c>
      <c r="G369" s="4">
        <f t="shared" si="19"/>
        <v>0.5</v>
      </c>
      <c r="H369" s="197">
        <f t="shared" ref="H369:H388" si="20">C369*F369*G369</f>
        <v>6.2500000000000001E-4</v>
      </c>
      <c r="I369" s="39">
        <f t="shared" ref="I369:I388" si="21">S344</f>
        <v>6</v>
      </c>
      <c r="J369" s="197">
        <f t="shared" ref="J369:J388" si="22">H369*2*I369</f>
        <v>7.4999999999999997E-3</v>
      </c>
      <c r="K369" s="197">
        <f>40/A369</f>
        <v>0.4</v>
      </c>
      <c r="L369" s="4">
        <v>60</v>
      </c>
      <c r="M369" s="4"/>
      <c r="N369" s="4"/>
      <c r="O369">
        <v>40</v>
      </c>
    </row>
    <row r="370" spans="1:19" x14ac:dyDescent="0.25">
      <c r="A370" s="72">
        <v>200</v>
      </c>
      <c r="B370" s="72">
        <v>299</v>
      </c>
      <c r="C370" s="196">
        <f t="shared" ref="C370:C388" si="23">$C$369</f>
        <v>2.5000000000000001E-3</v>
      </c>
      <c r="D370" s="4">
        <f t="shared" si="17"/>
        <v>0</v>
      </c>
      <c r="E370" s="4">
        <f t="shared" si="18"/>
        <v>0</v>
      </c>
      <c r="F370" s="4">
        <f t="shared" si="19"/>
        <v>0.5</v>
      </c>
      <c r="G370" s="4">
        <f t="shared" si="19"/>
        <v>0.5</v>
      </c>
      <c r="H370" s="197">
        <f t="shared" si="20"/>
        <v>6.2500000000000001E-4</v>
      </c>
      <c r="I370" s="39">
        <f t="shared" si="21"/>
        <v>4</v>
      </c>
      <c r="J370" s="197">
        <f t="shared" si="22"/>
        <v>5.0000000000000001E-3</v>
      </c>
      <c r="K370" s="197">
        <f>50/A370</f>
        <v>0.25</v>
      </c>
      <c r="L370" s="4">
        <v>75</v>
      </c>
      <c r="M370" s="4"/>
      <c r="N370" s="4"/>
      <c r="O370">
        <v>50</v>
      </c>
    </row>
    <row r="371" spans="1:19" x14ac:dyDescent="0.25">
      <c r="A371" s="72">
        <v>300</v>
      </c>
      <c r="B371" s="72">
        <v>399</v>
      </c>
      <c r="C371" s="196">
        <f t="shared" si="23"/>
        <v>2.5000000000000001E-3</v>
      </c>
      <c r="D371" s="4">
        <f t="shared" si="17"/>
        <v>0</v>
      </c>
      <c r="E371" s="4">
        <f t="shared" si="18"/>
        <v>0</v>
      </c>
      <c r="F371" s="4">
        <f t="shared" si="19"/>
        <v>0.5</v>
      </c>
      <c r="G371" s="4">
        <f t="shared" si="19"/>
        <v>0.5</v>
      </c>
      <c r="H371" s="197">
        <f t="shared" si="20"/>
        <v>6.2500000000000001E-4</v>
      </c>
      <c r="I371" s="39">
        <f t="shared" si="21"/>
        <v>2.2000000000000002</v>
      </c>
      <c r="J371" s="197">
        <f t="shared" si="22"/>
        <v>2.7500000000000003E-3</v>
      </c>
      <c r="K371" s="197">
        <f>50/A371</f>
        <v>0.16666666666666666</v>
      </c>
      <c r="L371" s="4">
        <v>75</v>
      </c>
      <c r="M371" s="4"/>
      <c r="N371" s="4"/>
      <c r="O371">
        <v>50</v>
      </c>
    </row>
    <row r="372" spans="1:19" x14ac:dyDescent="0.25">
      <c r="A372" s="72">
        <v>400</v>
      </c>
      <c r="B372" s="72">
        <v>499</v>
      </c>
      <c r="C372" s="196">
        <f t="shared" si="23"/>
        <v>2.5000000000000001E-3</v>
      </c>
      <c r="D372" s="4">
        <f t="shared" si="17"/>
        <v>0</v>
      </c>
      <c r="E372" s="4">
        <f t="shared" si="18"/>
        <v>0</v>
      </c>
      <c r="F372" s="4">
        <f t="shared" si="19"/>
        <v>0.5</v>
      </c>
      <c r="G372" s="4">
        <f t="shared" si="19"/>
        <v>0.5</v>
      </c>
      <c r="H372" s="197">
        <f t="shared" si="20"/>
        <v>6.2500000000000001E-4</v>
      </c>
      <c r="I372" s="39">
        <f t="shared" si="21"/>
        <v>1.8</v>
      </c>
      <c r="J372" s="197">
        <f t="shared" si="22"/>
        <v>2.2500000000000003E-3</v>
      </c>
      <c r="K372" s="197">
        <f>60/A372</f>
        <v>0.15</v>
      </c>
      <c r="L372" s="4">
        <v>90</v>
      </c>
      <c r="M372" s="4"/>
      <c r="N372" s="4"/>
      <c r="O372">
        <v>60</v>
      </c>
    </row>
    <row r="373" spans="1:19" x14ac:dyDescent="0.25">
      <c r="A373" s="72">
        <v>500</v>
      </c>
      <c r="B373" s="72">
        <v>999</v>
      </c>
      <c r="C373" s="196">
        <f t="shared" si="23"/>
        <v>2.5000000000000001E-3</v>
      </c>
      <c r="D373" s="4">
        <f t="shared" si="17"/>
        <v>0</v>
      </c>
      <c r="E373" s="4">
        <f t="shared" si="18"/>
        <v>0</v>
      </c>
      <c r="F373" s="4">
        <f t="shared" si="19"/>
        <v>0.5</v>
      </c>
      <c r="G373" s="4">
        <f t="shared" si="19"/>
        <v>0.5</v>
      </c>
      <c r="H373" s="197">
        <f t="shared" si="20"/>
        <v>6.2500000000000001E-4</v>
      </c>
      <c r="I373" s="39">
        <f t="shared" si="21"/>
        <v>1.6</v>
      </c>
      <c r="J373" s="22">
        <f t="shared" si="22"/>
        <v>2E-3</v>
      </c>
      <c r="K373" s="197">
        <f>80/A373</f>
        <v>0.16</v>
      </c>
      <c r="L373" s="4">
        <v>120</v>
      </c>
      <c r="M373" s="4"/>
      <c r="N373" s="4"/>
      <c r="O373">
        <v>80</v>
      </c>
    </row>
    <row r="374" spans="1:19" x14ac:dyDescent="0.25">
      <c r="A374" s="72">
        <v>1000</v>
      </c>
      <c r="B374" s="72">
        <v>1999</v>
      </c>
      <c r="C374" s="196">
        <f t="shared" si="23"/>
        <v>2.5000000000000001E-3</v>
      </c>
      <c r="D374" s="4">
        <f t="shared" si="17"/>
        <v>0</v>
      </c>
      <c r="E374" s="4">
        <f t="shared" si="18"/>
        <v>0</v>
      </c>
      <c r="F374" s="4">
        <f t="shared" si="19"/>
        <v>0.5</v>
      </c>
      <c r="G374" s="4">
        <f t="shared" si="19"/>
        <v>0.5</v>
      </c>
      <c r="H374" s="197">
        <f t="shared" si="20"/>
        <v>6.2500000000000001E-4</v>
      </c>
      <c r="I374" s="39">
        <f t="shared" si="21"/>
        <v>1.5</v>
      </c>
      <c r="J374" s="20">
        <f t="shared" si="22"/>
        <v>1.8749999999999999E-3</v>
      </c>
      <c r="K374" s="20">
        <f>120/A374</f>
        <v>0.12</v>
      </c>
      <c r="L374" s="4">
        <v>150</v>
      </c>
      <c r="M374" s="4"/>
      <c r="N374" s="4"/>
      <c r="O374">
        <v>120</v>
      </c>
    </row>
    <row r="375" spans="1:19" x14ac:dyDescent="0.25">
      <c r="A375" s="72">
        <v>2000</v>
      </c>
      <c r="B375" s="72">
        <v>2999</v>
      </c>
      <c r="C375" s="196">
        <f t="shared" si="23"/>
        <v>2.5000000000000001E-3</v>
      </c>
      <c r="D375" s="4">
        <f t="shared" si="17"/>
        <v>0</v>
      </c>
      <c r="E375" s="4">
        <f t="shared" si="18"/>
        <v>0</v>
      </c>
      <c r="F375" s="4">
        <f t="shared" si="19"/>
        <v>0.5</v>
      </c>
      <c r="G375" s="4">
        <f t="shared" si="19"/>
        <v>0.5</v>
      </c>
      <c r="H375" s="197">
        <f t="shared" si="20"/>
        <v>6.2500000000000001E-4</v>
      </c>
      <c r="I375" s="39">
        <f t="shared" si="21"/>
        <v>1.3</v>
      </c>
      <c r="J375" s="20">
        <f t="shared" si="22"/>
        <v>1.6250000000000001E-3</v>
      </c>
      <c r="K375" s="20">
        <f>120/A375</f>
        <v>0.06</v>
      </c>
      <c r="L375" s="4">
        <v>180</v>
      </c>
      <c r="M375" s="4"/>
      <c r="N375" s="4"/>
      <c r="O375">
        <v>120</v>
      </c>
    </row>
    <row r="376" spans="1:19" x14ac:dyDescent="0.25">
      <c r="A376" s="198">
        <v>3000</v>
      </c>
      <c r="B376" s="198">
        <v>4999</v>
      </c>
      <c r="C376" s="196">
        <f t="shared" si="23"/>
        <v>2.5000000000000001E-3</v>
      </c>
      <c r="D376" s="10">
        <f t="shared" si="17"/>
        <v>0</v>
      </c>
      <c r="E376" s="10">
        <f t="shared" si="18"/>
        <v>0</v>
      </c>
      <c r="F376" s="10">
        <f t="shared" si="19"/>
        <v>0.5</v>
      </c>
      <c r="G376" s="10">
        <f t="shared" si="19"/>
        <v>0.5</v>
      </c>
      <c r="H376" s="11">
        <f t="shared" si="20"/>
        <v>6.2500000000000001E-4</v>
      </c>
      <c r="I376" s="10">
        <f t="shared" si="21"/>
        <v>1</v>
      </c>
      <c r="J376" s="20">
        <f t="shared" si="22"/>
        <v>1.25E-3</v>
      </c>
      <c r="K376" s="20">
        <v>0.04</v>
      </c>
      <c r="L376" s="4">
        <v>4.4999999999999998E-2</v>
      </c>
      <c r="M376" s="4"/>
      <c r="N376" s="4"/>
      <c r="O376">
        <v>120</v>
      </c>
    </row>
    <row r="377" spans="1:19" x14ac:dyDescent="0.25">
      <c r="A377" s="72">
        <v>5000</v>
      </c>
      <c r="B377" s="72">
        <v>6999</v>
      </c>
      <c r="C377" s="196">
        <f t="shared" si="23"/>
        <v>2.5000000000000001E-3</v>
      </c>
      <c r="D377" s="4">
        <f t="shared" si="17"/>
        <v>0</v>
      </c>
      <c r="E377" s="4">
        <f t="shared" si="18"/>
        <v>0</v>
      </c>
      <c r="F377" s="4">
        <f t="shared" si="19"/>
        <v>0.5</v>
      </c>
      <c r="G377" s="4">
        <f t="shared" si="19"/>
        <v>0.5</v>
      </c>
      <c r="H377" s="197">
        <f t="shared" si="20"/>
        <v>6.2500000000000001E-4</v>
      </c>
      <c r="I377" s="39">
        <f t="shared" si="21"/>
        <v>0.95</v>
      </c>
      <c r="J377" s="20">
        <f t="shared" si="22"/>
        <v>1.1875E-3</v>
      </c>
      <c r="K377" s="197">
        <v>0.04</v>
      </c>
      <c r="L377" s="4">
        <v>4.4999999999999998E-2</v>
      </c>
      <c r="M377" s="4"/>
      <c r="N377" s="4"/>
    </row>
    <row r="378" spans="1:19" x14ac:dyDescent="0.25">
      <c r="A378" s="72">
        <v>7000</v>
      </c>
      <c r="B378" s="72">
        <v>9999</v>
      </c>
      <c r="C378" s="196">
        <f t="shared" si="23"/>
        <v>2.5000000000000001E-3</v>
      </c>
      <c r="D378" s="4">
        <f t="shared" si="17"/>
        <v>0</v>
      </c>
      <c r="E378" s="4">
        <f t="shared" si="18"/>
        <v>0</v>
      </c>
      <c r="F378" s="4">
        <f t="shared" si="19"/>
        <v>0.5</v>
      </c>
      <c r="G378" s="4">
        <f t="shared" si="19"/>
        <v>0.5</v>
      </c>
      <c r="H378" s="197">
        <f t="shared" si="20"/>
        <v>6.2500000000000001E-4</v>
      </c>
      <c r="I378" s="39">
        <f t="shared" si="21"/>
        <v>0.9</v>
      </c>
      <c r="J378" s="197">
        <f t="shared" si="22"/>
        <v>1.1250000000000001E-3</v>
      </c>
      <c r="K378" s="197">
        <v>0.04</v>
      </c>
      <c r="L378" s="4">
        <v>4.4999999999999998E-2</v>
      </c>
      <c r="M378" s="4"/>
      <c r="N378" s="4"/>
    </row>
    <row r="379" spans="1:19" x14ac:dyDescent="0.25">
      <c r="A379" s="72">
        <v>10000</v>
      </c>
      <c r="B379" s="72">
        <v>14999</v>
      </c>
      <c r="C379" s="196">
        <f t="shared" si="23"/>
        <v>2.5000000000000001E-3</v>
      </c>
      <c r="D379" s="4">
        <f t="shared" si="17"/>
        <v>0</v>
      </c>
      <c r="E379" s="4">
        <f t="shared" si="18"/>
        <v>0</v>
      </c>
      <c r="F379" s="4">
        <f t="shared" si="19"/>
        <v>0.5</v>
      </c>
      <c r="G379" s="4">
        <f t="shared" si="19"/>
        <v>0.5</v>
      </c>
      <c r="H379" s="197">
        <f t="shared" si="20"/>
        <v>6.2500000000000001E-4</v>
      </c>
      <c r="I379" s="39">
        <f t="shared" si="21"/>
        <v>0.85</v>
      </c>
      <c r="J379" s="197">
        <f t="shared" si="22"/>
        <v>1.0625000000000001E-3</v>
      </c>
      <c r="K379" s="197">
        <v>0.04</v>
      </c>
      <c r="L379" s="4">
        <v>4.4999999999999998E-2</v>
      </c>
      <c r="M379" s="4"/>
      <c r="N379" s="4"/>
    </row>
    <row r="380" spans="1:19" x14ac:dyDescent="0.25">
      <c r="A380" s="72">
        <v>15000</v>
      </c>
      <c r="B380" s="72">
        <v>19999</v>
      </c>
      <c r="C380" s="196">
        <f t="shared" si="23"/>
        <v>2.5000000000000001E-3</v>
      </c>
      <c r="D380" s="4">
        <f t="shared" si="17"/>
        <v>0</v>
      </c>
      <c r="E380" s="4">
        <f t="shared" si="18"/>
        <v>0</v>
      </c>
      <c r="F380" s="4">
        <f t="shared" si="19"/>
        <v>0.5</v>
      </c>
      <c r="G380" s="4">
        <f t="shared" si="19"/>
        <v>0.5</v>
      </c>
      <c r="H380" s="197">
        <f t="shared" si="20"/>
        <v>6.2500000000000001E-4</v>
      </c>
      <c r="I380" s="39">
        <f t="shared" si="21"/>
        <v>0.8</v>
      </c>
      <c r="J380" s="197">
        <f t="shared" si="22"/>
        <v>1E-3</v>
      </c>
      <c r="K380" s="197">
        <v>0.04</v>
      </c>
      <c r="L380" s="4">
        <v>4.4999999999999998E-2</v>
      </c>
      <c r="M380" s="4"/>
      <c r="N380" s="4"/>
      <c r="S380" s="218"/>
    </row>
    <row r="381" spans="1:19" x14ac:dyDescent="0.25">
      <c r="A381" s="72">
        <v>20000</v>
      </c>
      <c r="B381" s="72">
        <v>29999</v>
      </c>
      <c r="C381" s="196">
        <f t="shared" si="23"/>
        <v>2.5000000000000001E-3</v>
      </c>
      <c r="D381" s="4">
        <f t="shared" si="17"/>
        <v>0</v>
      </c>
      <c r="E381" s="4">
        <f t="shared" si="18"/>
        <v>0</v>
      </c>
      <c r="F381" s="4">
        <f t="shared" si="19"/>
        <v>0.5</v>
      </c>
      <c r="G381" s="4">
        <f t="shared" si="19"/>
        <v>0.5</v>
      </c>
      <c r="H381" s="197">
        <f t="shared" si="20"/>
        <v>6.2500000000000001E-4</v>
      </c>
      <c r="I381" s="39">
        <f t="shared" si="21"/>
        <v>0.78</v>
      </c>
      <c r="J381" s="197">
        <f t="shared" si="22"/>
        <v>9.7500000000000006E-4</v>
      </c>
      <c r="K381" s="197">
        <v>0.04</v>
      </c>
      <c r="L381" s="4">
        <v>4.4999999999999998E-2</v>
      </c>
      <c r="M381" s="4"/>
      <c r="N381" s="4"/>
    </row>
    <row r="382" spans="1:19" x14ac:dyDescent="0.25">
      <c r="A382" s="72">
        <v>30000</v>
      </c>
      <c r="B382" s="72">
        <v>49999</v>
      </c>
      <c r="C382" s="196">
        <f t="shared" si="23"/>
        <v>2.5000000000000001E-3</v>
      </c>
      <c r="D382" s="4">
        <f t="shared" si="17"/>
        <v>0</v>
      </c>
      <c r="E382" s="4">
        <f t="shared" si="18"/>
        <v>0</v>
      </c>
      <c r="F382" s="4">
        <f t="shared" si="19"/>
        <v>0.5</v>
      </c>
      <c r="G382" s="4">
        <f t="shared" si="19"/>
        <v>0.5</v>
      </c>
      <c r="H382" s="197">
        <f t="shared" si="20"/>
        <v>6.2500000000000001E-4</v>
      </c>
      <c r="I382" s="39">
        <f t="shared" si="21"/>
        <v>0.76</v>
      </c>
      <c r="J382" s="197">
        <f t="shared" si="22"/>
        <v>9.5E-4</v>
      </c>
      <c r="K382" s="197">
        <v>0.04</v>
      </c>
      <c r="L382" s="4">
        <v>4.4999999999999998E-2</v>
      </c>
      <c r="M382" s="4"/>
      <c r="N382" s="4"/>
    </row>
    <row r="383" spans="1:19" x14ac:dyDescent="0.25">
      <c r="A383" s="72">
        <v>50000</v>
      </c>
      <c r="B383" s="72">
        <v>74999</v>
      </c>
      <c r="C383" s="196">
        <f t="shared" si="23"/>
        <v>2.5000000000000001E-3</v>
      </c>
      <c r="D383" s="4">
        <f t="shared" si="17"/>
        <v>0</v>
      </c>
      <c r="E383" s="4">
        <f t="shared" si="18"/>
        <v>0</v>
      </c>
      <c r="F383" s="4">
        <f t="shared" si="19"/>
        <v>0.5</v>
      </c>
      <c r="G383" s="4">
        <f t="shared" si="19"/>
        <v>0.5</v>
      </c>
      <c r="H383" s="197">
        <f t="shared" si="20"/>
        <v>6.2500000000000001E-4</v>
      </c>
      <c r="I383" s="39">
        <f t="shared" si="21"/>
        <v>0.74</v>
      </c>
      <c r="J383" s="197">
        <f t="shared" si="22"/>
        <v>9.2500000000000004E-4</v>
      </c>
      <c r="K383" s="197">
        <v>0.04</v>
      </c>
      <c r="L383" s="4">
        <v>4.4999999999999998E-2</v>
      </c>
      <c r="M383" s="4"/>
      <c r="N383" s="4"/>
    </row>
    <row r="384" spans="1:19" x14ac:dyDescent="0.25">
      <c r="A384" s="72">
        <v>75000</v>
      </c>
      <c r="B384" s="72">
        <v>99999</v>
      </c>
      <c r="C384" s="196">
        <f t="shared" si="23"/>
        <v>2.5000000000000001E-3</v>
      </c>
      <c r="D384" s="4">
        <f t="shared" si="17"/>
        <v>0</v>
      </c>
      <c r="E384" s="4">
        <f t="shared" si="18"/>
        <v>0</v>
      </c>
      <c r="F384" s="4">
        <f t="shared" si="19"/>
        <v>0.5</v>
      </c>
      <c r="G384" s="4">
        <f t="shared" si="19"/>
        <v>0.5</v>
      </c>
      <c r="H384" s="197">
        <f t="shared" si="20"/>
        <v>6.2500000000000001E-4</v>
      </c>
      <c r="I384" s="39">
        <f t="shared" si="21"/>
        <v>0.72</v>
      </c>
      <c r="J384" s="197">
        <f t="shared" si="22"/>
        <v>8.9999999999999998E-4</v>
      </c>
      <c r="K384" s="197">
        <v>0.04</v>
      </c>
      <c r="L384" s="4">
        <v>4.4999999999999998E-2</v>
      </c>
      <c r="M384" s="4"/>
      <c r="N384" s="4"/>
    </row>
    <row r="385" spans="1:35" x14ac:dyDescent="0.25">
      <c r="A385" s="72">
        <v>100000</v>
      </c>
      <c r="B385" s="72">
        <v>149999</v>
      </c>
      <c r="C385" s="196">
        <f t="shared" si="23"/>
        <v>2.5000000000000001E-3</v>
      </c>
      <c r="D385" s="4">
        <f t="shared" si="17"/>
        <v>0</v>
      </c>
      <c r="E385" s="4">
        <f t="shared" si="18"/>
        <v>0</v>
      </c>
      <c r="F385" s="4">
        <f t="shared" si="19"/>
        <v>0.5</v>
      </c>
      <c r="G385" s="4">
        <f t="shared" si="19"/>
        <v>0.5</v>
      </c>
      <c r="H385" s="197">
        <f t="shared" si="20"/>
        <v>6.2500000000000001E-4</v>
      </c>
      <c r="I385" s="39">
        <f t="shared" si="21"/>
        <v>0.7</v>
      </c>
      <c r="J385" s="197">
        <f t="shared" si="22"/>
        <v>8.7499999999999991E-4</v>
      </c>
      <c r="K385" s="197">
        <v>0.04</v>
      </c>
      <c r="L385" s="4">
        <v>4.4999999999999998E-2</v>
      </c>
      <c r="M385" s="4"/>
      <c r="N385" s="4"/>
    </row>
    <row r="386" spans="1:35" x14ac:dyDescent="0.25">
      <c r="A386" s="72">
        <v>150000</v>
      </c>
      <c r="B386" s="72">
        <v>199999</v>
      </c>
      <c r="C386" s="196">
        <f t="shared" si="23"/>
        <v>2.5000000000000001E-3</v>
      </c>
      <c r="D386" s="4">
        <f t="shared" si="17"/>
        <v>0</v>
      </c>
      <c r="E386" s="4">
        <f t="shared" si="18"/>
        <v>0</v>
      </c>
      <c r="F386" s="4">
        <f t="shared" si="19"/>
        <v>0.5</v>
      </c>
      <c r="G386" s="4">
        <f t="shared" si="19"/>
        <v>0.5</v>
      </c>
      <c r="H386" s="197">
        <f t="shared" si="20"/>
        <v>6.2500000000000001E-4</v>
      </c>
      <c r="I386" s="39">
        <f t="shared" si="21"/>
        <v>0.68</v>
      </c>
      <c r="J386" s="197">
        <f t="shared" si="22"/>
        <v>8.5000000000000006E-4</v>
      </c>
      <c r="K386" s="197">
        <v>0.04</v>
      </c>
      <c r="L386" s="4">
        <v>4.4999999999999998E-2</v>
      </c>
      <c r="M386" s="4"/>
      <c r="N386" s="4"/>
    </row>
    <row r="387" spans="1:35" x14ac:dyDescent="0.25">
      <c r="A387" s="72">
        <v>200000</v>
      </c>
      <c r="B387" s="72">
        <v>399999</v>
      </c>
      <c r="C387" s="196">
        <f t="shared" si="23"/>
        <v>2.5000000000000001E-3</v>
      </c>
      <c r="D387" s="4">
        <f t="shared" si="17"/>
        <v>0</v>
      </c>
      <c r="E387" s="4">
        <f t="shared" si="18"/>
        <v>0</v>
      </c>
      <c r="F387" s="4">
        <f t="shared" si="19"/>
        <v>0.5</v>
      </c>
      <c r="G387" s="4">
        <f t="shared" si="19"/>
        <v>0.5</v>
      </c>
      <c r="H387" s="197">
        <f t="shared" si="20"/>
        <v>6.2500000000000001E-4</v>
      </c>
      <c r="I387" s="39">
        <f t="shared" si="21"/>
        <v>0.66</v>
      </c>
      <c r="J387" s="197">
        <f t="shared" si="22"/>
        <v>8.250000000000001E-4</v>
      </c>
      <c r="K387" s="197">
        <v>0.04</v>
      </c>
      <c r="L387" s="4">
        <v>4.4999999999999998E-2</v>
      </c>
      <c r="M387" s="4"/>
      <c r="N387" s="4"/>
    </row>
    <row r="388" spans="1:35" x14ac:dyDescent="0.25">
      <c r="A388" s="72">
        <v>400000</v>
      </c>
      <c r="B388" s="72">
        <v>1000000</v>
      </c>
      <c r="C388" s="196">
        <f t="shared" si="23"/>
        <v>2.5000000000000001E-3</v>
      </c>
      <c r="D388" s="4">
        <f t="shared" si="17"/>
        <v>0</v>
      </c>
      <c r="E388" s="4">
        <f t="shared" si="18"/>
        <v>0</v>
      </c>
      <c r="F388" s="4">
        <f t="shared" si="19"/>
        <v>0.5</v>
      </c>
      <c r="G388" s="4">
        <f t="shared" si="19"/>
        <v>0.5</v>
      </c>
      <c r="H388" s="197">
        <f t="shared" si="20"/>
        <v>6.2500000000000001E-4</v>
      </c>
      <c r="I388" s="39">
        <f t="shared" si="21"/>
        <v>0.63</v>
      </c>
      <c r="J388" s="197">
        <f t="shared" si="22"/>
        <v>7.8750000000000001E-4</v>
      </c>
      <c r="K388" s="197">
        <v>0.04</v>
      </c>
      <c r="L388" s="4">
        <v>4.4999999999999998E-2</v>
      </c>
      <c r="M388" s="4"/>
      <c r="N388" s="4"/>
    </row>
    <row r="391" spans="1:35" x14ac:dyDescent="0.25">
      <c r="D391" s="191" t="s">
        <v>36</v>
      </c>
      <c r="AD391" s="233" t="s">
        <v>257</v>
      </c>
      <c r="AE391" s="234"/>
      <c r="AF391" s="235"/>
    </row>
    <row r="392" spans="1:35" ht="14.45" customHeight="1" x14ac:dyDescent="0.25">
      <c r="C392" s="192" t="s">
        <v>242</v>
      </c>
      <c r="D392" s="193" t="str">
        <f>D12</f>
        <v>Green</v>
      </c>
      <c r="I392" s="131" t="s">
        <v>219</v>
      </c>
      <c r="J392" s="239" t="s">
        <v>258</v>
      </c>
      <c r="K392" s="236" t="s">
        <v>259</v>
      </c>
      <c r="L392" s="236" t="s">
        <v>260</v>
      </c>
      <c r="M392" s="236" t="s">
        <v>261</v>
      </c>
      <c r="AD392" s="4">
        <f>C37</f>
        <v>390</v>
      </c>
      <c r="AE392" s="4">
        <f>D37</f>
        <v>150</v>
      </c>
      <c r="AF392" s="4">
        <f>E37</f>
        <v>100</v>
      </c>
    </row>
    <row r="393" spans="1:35" x14ac:dyDescent="0.25">
      <c r="A393" s="1" t="s">
        <v>248</v>
      </c>
      <c r="C393" s="194" t="s">
        <v>249</v>
      </c>
      <c r="D393" s="234" t="s">
        <v>262</v>
      </c>
      <c r="E393" s="235"/>
      <c r="F393" s="16" t="s">
        <v>251</v>
      </c>
      <c r="G393" s="17"/>
      <c r="H393" s="195"/>
      <c r="I393" s="6" t="s">
        <v>221</v>
      </c>
      <c r="J393" s="240"/>
      <c r="K393" s="237"/>
      <c r="L393" s="237"/>
      <c r="M393" s="237"/>
      <c r="AD393" s="233" t="s">
        <v>263</v>
      </c>
      <c r="AE393" s="234"/>
      <c r="AF393" s="235"/>
    </row>
    <row r="394" spans="1:35" ht="30" customHeight="1" x14ac:dyDescent="0.25">
      <c r="A394" s="7" t="s">
        <v>252</v>
      </c>
      <c r="B394" s="7" t="s">
        <v>253</v>
      </c>
      <c r="C394" s="7"/>
      <c r="D394" s="7" t="s">
        <v>264</v>
      </c>
      <c r="E394" s="7" t="s">
        <v>265</v>
      </c>
      <c r="F394" s="7" t="s">
        <v>264</v>
      </c>
      <c r="G394" s="7" t="s">
        <v>265</v>
      </c>
      <c r="H394" s="7" t="s">
        <v>256</v>
      </c>
      <c r="I394" s="7" t="s">
        <v>223</v>
      </c>
      <c r="J394" s="7" t="s">
        <v>256</v>
      </c>
      <c r="K394" s="238"/>
      <c r="L394" s="238"/>
      <c r="M394" s="238"/>
      <c r="Q394" s="153" t="s">
        <v>266</v>
      </c>
      <c r="R394" s="93" t="s">
        <v>267</v>
      </c>
      <c r="S394" s="93" t="s">
        <v>268</v>
      </c>
      <c r="T394" s="93" t="s">
        <v>269</v>
      </c>
      <c r="U394" s="93" t="s">
        <v>270</v>
      </c>
      <c r="V394" s="199" t="s">
        <v>271</v>
      </c>
      <c r="W394" s="18" t="s">
        <v>254</v>
      </c>
      <c r="X394" s="4" t="s">
        <v>255</v>
      </c>
      <c r="Y394" s="4" t="s">
        <v>272</v>
      </c>
      <c r="Z394" s="93" t="s">
        <v>273</v>
      </c>
      <c r="AA394" s="4" t="s">
        <v>274</v>
      </c>
      <c r="AB394" s="4" t="s">
        <v>275</v>
      </c>
      <c r="AD394" s="7" t="s">
        <v>8</v>
      </c>
      <c r="AE394" s="7" t="s">
        <v>9</v>
      </c>
      <c r="AF394" s="4" t="s">
        <v>276</v>
      </c>
      <c r="AG394" s="93" t="s">
        <v>277</v>
      </c>
      <c r="AH394" s="200" t="s">
        <v>274</v>
      </c>
      <c r="AI394" s="93" t="s">
        <v>278</v>
      </c>
    </row>
    <row r="395" spans="1:35" x14ac:dyDescent="0.25">
      <c r="A395" s="72">
        <v>100</v>
      </c>
      <c r="B395" s="72">
        <v>199</v>
      </c>
      <c r="C395" s="196">
        <f t="shared" ref="C395:C414" si="24">$C$369</f>
        <v>2.5000000000000001E-3</v>
      </c>
      <c r="D395" s="19">
        <f t="shared" ref="D395:D414" si="25">$D$363</f>
        <v>0</v>
      </c>
      <c r="E395" s="19">
        <f t="shared" ref="E395:E414" si="26">$E$363</f>
        <v>0</v>
      </c>
      <c r="F395" s="4">
        <f t="shared" ref="F395:G414" si="27">D395/25.4+0.5</f>
        <v>0.5</v>
      </c>
      <c r="G395" s="4">
        <f t="shared" si="27"/>
        <v>0.5</v>
      </c>
      <c r="H395" s="197">
        <f t="shared" ref="H395:H414" si="28">C395*F395*G395</f>
        <v>6.2500000000000001E-4</v>
      </c>
      <c r="I395" s="39">
        <f t="shared" ref="I395:I414" si="29">S344</f>
        <v>6</v>
      </c>
      <c r="J395" s="197">
        <f t="shared" ref="J395:J414" si="30">H395*2*I395</f>
        <v>7.4999999999999997E-3</v>
      </c>
      <c r="K395" s="197">
        <f>40/A395</f>
        <v>0.4</v>
      </c>
      <c r="L395" s="4">
        <v>60</v>
      </c>
      <c r="M395" s="4"/>
      <c r="O395" s="183" t="s">
        <v>10</v>
      </c>
      <c r="P395" s="201">
        <f>I40</f>
        <v>1000</v>
      </c>
      <c r="Q395" s="202">
        <f>P395*INDEX($J$369:$J$388,MATCH(P395,$A$395:$A$414,1))</f>
        <v>1.875</v>
      </c>
      <c r="R395" s="202">
        <f>P395*INDEX($K$395:$K$414,MATCH(P395,$A$395:$A$414),1)</f>
        <v>120</v>
      </c>
      <c r="S395" s="134">
        <f>IF(AND($D$362=0,$E$362=0),0,IF(AND($D$362&gt;0, $E$362&gt;0),MAX(Q395,P395*INDEX($K$395:$K$414,MATCH(P395,$A$395:$A$414))),""))</f>
        <v>0</v>
      </c>
      <c r="T395" s="203">
        <f>S395+S402+S409</f>
        <v>0</v>
      </c>
      <c r="U395" s="4">
        <f>AB395</f>
        <v>0</v>
      </c>
      <c r="V395" s="204">
        <f>IF(E15="YES",T395+U395+U402+U409+$AI$395,0)</f>
        <v>0</v>
      </c>
      <c r="W395" s="18">
        <f>D362</f>
        <v>0</v>
      </c>
      <c r="X395" s="4">
        <f>E362</f>
        <v>0</v>
      </c>
      <c r="Y395" s="4">
        <f>W395*X395/100</f>
        <v>0</v>
      </c>
      <c r="Z395" s="4">
        <f>Y395*0.25*2</f>
        <v>0</v>
      </c>
      <c r="AA395" s="4">
        <v>30</v>
      </c>
      <c r="AB395" s="4">
        <f>IF(OR(W395=0,X395=0),0,IF(Z395&lt;30,MAX(30,AA395),Z395))</f>
        <v>0</v>
      </c>
      <c r="AD395" s="4">
        <f>F40</f>
        <v>0.53500000000000003</v>
      </c>
      <c r="AE395" s="4">
        <f>G40</f>
        <v>0.53</v>
      </c>
      <c r="AF395" s="4">
        <f>AD395*AE395*1550</f>
        <v>439.50250000000005</v>
      </c>
      <c r="AG395" s="4">
        <f>AF395*0.08</f>
        <v>35.160200000000003</v>
      </c>
      <c r="AH395" s="4">
        <v>30</v>
      </c>
      <c r="AI395" s="2">
        <f>IF(E15="No",0,IF(AG395&lt;30,MAX(30,AH395),AG395))</f>
        <v>0</v>
      </c>
    </row>
    <row r="396" spans="1:35" x14ac:dyDescent="0.25">
      <c r="A396" s="72">
        <v>200</v>
      </c>
      <c r="B396" s="72">
        <v>299</v>
      </c>
      <c r="C396" s="196">
        <f t="shared" si="24"/>
        <v>2.5000000000000001E-3</v>
      </c>
      <c r="D396" s="4">
        <f t="shared" si="25"/>
        <v>0</v>
      </c>
      <c r="E396" s="4">
        <f t="shared" si="26"/>
        <v>0</v>
      </c>
      <c r="F396" s="4">
        <f t="shared" si="27"/>
        <v>0.5</v>
      </c>
      <c r="G396" s="4">
        <f t="shared" si="27"/>
        <v>0.5</v>
      </c>
      <c r="H396" s="197">
        <f t="shared" si="28"/>
        <v>6.2500000000000001E-4</v>
      </c>
      <c r="I396" s="39">
        <f t="shared" si="29"/>
        <v>4</v>
      </c>
      <c r="J396" s="197">
        <f t="shared" si="30"/>
        <v>5.0000000000000001E-3</v>
      </c>
      <c r="K396" s="197">
        <f>50/A396</f>
        <v>0.25</v>
      </c>
      <c r="L396" s="4">
        <v>75</v>
      </c>
      <c r="M396" s="4"/>
      <c r="O396" s="188" t="s">
        <v>11</v>
      </c>
      <c r="P396" s="201">
        <f>I41</f>
        <v>2000</v>
      </c>
      <c r="Q396" s="202">
        <f>P396*INDEX($J$369:$J$388,MATCH(P396,$A$395:$A$414,1))</f>
        <v>3.2500000000000004</v>
      </c>
      <c r="R396" s="202">
        <f>P396*INDEX($K$395:$K$414,MATCH(P396,$A$395:$A$414),1)</f>
        <v>120</v>
      </c>
      <c r="S396" s="134">
        <f>IF(AND($D$362=0,$E$362=0),0,IF(AND($D$362&gt;0, $E$362&gt;0),MAX(Q396,P396*INDEX($K$395:$K$414,MATCH(P396,$A$395:$A$414))),""))</f>
        <v>0</v>
      </c>
      <c r="T396" s="203">
        <f>S396+S403+S410</f>
        <v>0</v>
      </c>
      <c r="U396" s="4">
        <f>U395</f>
        <v>0</v>
      </c>
      <c r="V396" s="204">
        <f>IF(E15="YES",T396+U396+U403+U410+$AI$395,0)</f>
        <v>0</v>
      </c>
      <c r="AD396" s="16" t="s">
        <v>279</v>
      </c>
      <c r="AE396" s="17"/>
      <c r="AF396" s="17"/>
      <c r="AG396" s="17"/>
      <c r="AH396" s="17"/>
      <c r="AI396" s="18"/>
    </row>
    <row r="397" spans="1:35" x14ac:dyDescent="0.25">
      <c r="A397" s="72">
        <v>300</v>
      </c>
      <c r="B397" s="72">
        <v>399</v>
      </c>
      <c r="C397" s="196">
        <f t="shared" si="24"/>
        <v>2.5000000000000001E-3</v>
      </c>
      <c r="D397" s="4">
        <f t="shared" si="25"/>
        <v>0</v>
      </c>
      <c r="E397" s="4">
        <f t="shared" si="26"/>
        <v>0</v>
      </c>
      <c r="F397" s="4">
        <f t="shared" si="27"/>
        <v>0.5</v>
      </c>
      <c r="G397" s="4">
        <f t="shared" si="27"/>
        <v>0.5</v>
      </c>
      <c r="H397" s="197">
        <f t="shared" si="28"/>
        <v>6.2500000000000001E-4</v>
      </c>
      <c r="I397" s="39">
        <f t="shared" si="29"/>
        <v>2.2000000000000002</v>
      </c>
      <c r="J397" s="197">
        <f t="shared" si="30"/>
        <v>2.7500000000000003E-3</v>
      </c>
      <c r="K397" s="197">
        <f>50/A397</f>
        <v>0.16666666666666666</v>
      </c>
      <c r="L397" s="4">
        <v>75</v>
      </c>
      <c r="M397" s="4"/>
      <c r="O397" s="188" t="s">
        <v>12</v>
      </c>
      <c r="P397" s="201">
        <f>I42</f>
        <v>3000</v>
      </c>
      <c r="Q397" s="202">
        <f>P397*INDEX($J$369:$J$388,MATCH(P397,$A$395:$A$414,1))</f>
        <v>3.75</v>
      </c>
      <c r="R397" s="202">
        <f>P397*INDEX($K$395:$K$414,MATCH(P397,$A$395:$A$414),1)</f>
        <v>120</v>
      </c>
      <c r="S397" s="134">
        <f>IF(AND($D$362=0,$E$362=0),0,IF(AND($D$362&gt;0, $E$39&gt;0),MAX(Q397,P397*INDEX($K$395:$K$414,MATCH(P397,$A$395:$A$414))),""))</f>
        <v>0</v>
      </c>
      <c r="T397" s="203">
        <f>S397+S404+S411</f>
        <v>0</v>
      </c>
      <c r="U397" s="4">
        <f>U395</f>
        <v>0</v>
      </c>
      <c r="V397" s="204">
        <f>IF(E15="YES",T397+U397+U404+U411+$AI$395,0)</f>
        <v>0</v>
      </c>
    </row>
    <row r="398" spans="1:35" x14ac:dyDescent="0.25">
      <c r="A398" s="72">
        <v>400</v>
      </c>
      <c r="B398" s="72">
        <v>499</v>
      </c>
      <c r="C398" s="196">
        <f t="shared" si="24"/>
        <v>2.5000000000000001E-3</v>
      </c>
      <c r="D398" s="4">
        <f t="shared" si="25"/>
        <v>0</v>
      </c>
      <c r="E398" s="4">
        <f t="shared" si="26"/>
        <v>0</v>
      </c>
      <c r="F398" s="4">
        <f t="shared" si="27"/>
        <v>0.5</v>
      </c>
      <c r="G398" s="4">
        <f t="shared" si="27"/>
        <v>0.5</v>
      </c>
      <c r="H398" s="197">
        <f t="shared" si="28"/>
        <v>6.2500000000000001E-4</v>
      </c>
      <c r="I398" s="39">
        <f t="shared" si="29"/>
        <v>1.8</v>
      </c>
      <c r="J398" s="197">
        <f t="shared" si="30"/>
        <v>2.2500000000000003E-3</v>
      </c>
      <c r="K398" s="197">
        <f>60/A398</f>
        <v>0.15</v>
      </c>
      <c r="L398" s="4">
        <v>90</v>
      </c>
      <c r="M398" s="4"/>
      <c r="O398" s="188" t="s">
        <v>13</v>
      </c>
      <c r="P398" s="201">
        <f>I43</f>
        <v>4000</v>
      </c>
      <c r="Q398" s="202">
        <f>P398*INDEX($J$369:$J$388,MATCH(P398,$A$395:$A$414,1))</f>
        <v>5</v>
      </c>
      <c r="R398" s="202">
        <f>P398*INDEX($K$395:$K$414,MATCH(P398,$A$395:$A$414),1)</f>
        <v>160</v>
      </c>
      <c r="S398" s="134">
        <f>IF(AND($D$362=0,$E$362=0),0,IF(AND($D$362&gt;0, $E$362&gt;0),MAX(Q398,P398*INDEX($K$395:$K$414,MATCH(P398,$A$395:$A$414))),""))</f>
        <v>0</v>
      </c>
      <c r="T398" s="203">
        <f>S398+S405+S412</f>
        <v>0</v>
      </c>
      <c r="U398" s="4">
        <f>U395</f>
        <v>0</v>
      </c>
      <c r="V398" s="204">
        <f>IF(E15="YES",T398+U398+U405+U412+$AI$395,0)</f>
        <v>0</v>
      </c>
    </row>
    <row r="399" spans="1:35" x14ac:dyDescent="0.25">
      <c r="A399" s="72">
        <v>500</v>
      </c>
      <c r="B399" s="72">
        <v>999</v>
      </c>
      <c r="C399" s="196">
        <f t="shared" si="24"/>
        <v>2.5000000000000001E-3</v>
      </c>
      <c r="D399" s="4">
        <f t="shared" si="25"/>
        <v>0</v>
      </c>
      <c r="E399" s="4">
        <f t="shared" si="26"/>
        <v>0</v>
      </c>
      <c r="F399" s="4">
        <f t="shared" si="27"/>
        <v>0.5</v>
      </c>
      <c r="G399" s="4">
        <f t="shared" si="27"/>
        <v>0.5</v>
      </c>
      <c r="H399" s="197">
        <f t="shared" si="28"/>
        <v>6.2500000000000001E-4</v>
      </c>
      <c r="I399" s="39">
        <f t="shared" si="29"/>
        <v>1.6</v>
      </c>
      <c r="J399" s="197">
        <f t="shared" si="30"/>
        <v>2E-3</v>
      </c>
      <c r="K399" s="197">
        <f>80/A399</f>
        <v>0.16</v>
      </c>
      <c r="L399" s="4">
        <v>120</v>
      </c>
      <c r="M399" s="4"/>
    </row>
    <row r="400" spans="1:35" x14ac:dyDescent="0.25">
      <c r="A400" s="72">
        <v>1000</v>
      </c>
      <c r="B400" s="72">
        <v>1999</v>
      </c>
      <c r="C400" s="196">
        <f t="shared" si="24"/>
        <v>2.5000000000000001E-3</v>
      </c>
      <c r="D400" s="4">
        <f t="shared" si="25"/>
        <v>0</v>
      </c>
      <c r="E400" s="4">
        <f t="shared" si="26"/>
        <v>0</v>
      </c>
      <c r="F400" s="4">
        <f t="shared" si="27"/>
        <v>0.5</v>
      </c>
      <c r="G400" s="4">
        <f t="shared" si="27"/>
        <v>0.5</v>
      </c>
      <c r="H400" s="197">
        <f t="shared" si="28"/>
        <v>6.2500000000000001E-4</v>
      </c>
      <c r="I400" s="39">
        <f t="shared" si="29"/>
        <v>1.5</v>
      </c>
      <c r="J400" s="197">
        <f t="shared" si="30"/>
        <v>1.8749999999999999E-3</v>
      </c>
      <c r="K400" s="197">
        <f>120/A400</f>
        <v>0.12</v>
      </c>
      <c r="L400" s="4">
        <v>150</v>
      </c>
      <c r="M400" s="4"/>
    </row>
    <row r="401" spans="1:28" ht="27.6" customHeight="1" x14ac:dyDescent="0.25">
      <c r="A401" s="72">
        <v>2000</v>
      </c>
      <c r="B401" s="72">
        <v>2999</v>
      </c>
      <c r="C401" s="196">
        <f t="shared" si="24"/>
        <v>2.5000000000000001E-3</v>
      </c>
      <c r="D401" s="4">
        <f t="shared" si="25"/>
        <v>0</v>
      </c>
      <c r="E401" s="4">
        <f t="shared" si="26"/>
        <v>0</v>
      </c>
      <c r="F401" s="4">
        <f t="shared" si="27"/>
        <v>0.5</v>
      </c>
      <c r="G401" s="4">
        <f t="shared" si="27"/>
        <v>0.5</v>
      </c>
      <c r="H401" s="197">
        <f t="shared" si="28"/>
        <v>6.2500000000000001E-4</v>
      </c>
      <c r="I401" s="39">
        <f t="shared" si="29"/>
        <v>1.3</v>
      </c>
      <c r="J401" s="197">
        <f t="shared" si="30"/>
        <v>1.6250000000000001E-3</v>
      </c>
      <c r="K401" s="197">
        <f>120/A401</f>
        <v>0.06</v>
      </c>
      <c r="L401" s="4">
        <v>180</v>
      </c>
      <c r="M401" s="4"/>
      <c r="Q401" s="153" t="s">
        <v>280</v>
      </c>
      <c r="R401" s="205" t="s">
        <v>281</v>
      </c>
      <c r="S401" s="88" t="s">
        <v>282</v>
      </c>
      <c r="T401" s="4"/>
      <c r="U401" s="93" t="s">
        <v>283</v>
      </c>
      <c r="W401" s="4" t="s">
        <v>264</v>
      </c>
      <c r="X401" s="4" t="s">
        <v>265</v>
      </c>
      <c r="Y401" s="4" t="s">
        <v>272</v>
      </c>
      <c r="Z401" s="93" t="s">
        <v>273</v>
      </c>
      <c r="AA401" s="4" t="s">
        <v>274</v>
      </c>
      <c r="AB401" s="4" t="s">
        <v>275</v>
      </c>
    </row>
    <row r="402" spans="1:28" x14ac:dyDescent="0.25">
      <c r="A402" s="198">
        <v>3000</v>
      </c>
      <c r="B402" s="198">
        <v>4999</v>
      </c>
      <c r="C402" s="206">
        <f t="shared" si="24"/>
        <v>2.5000000000000001E-3</v>
      </c>
      <c r="D402" s="10">
        <f t="shared" si="25"/>
        <v>0</v>
      </c>
      <c r="E402" s="10">
        <f t="shared" si="26"/>
        <v>0</v>
      </c>
      <c r="F402" s="10">
        <f t="shared" si="27"/>
        <v>0.5</v>
      </c>
      <c r="G402" s="10">
        <f t="shared" si="27"/>
        <v>0.5</v>
      </c>
      <c r="H402" s="11">
        <f t="shared" si="28"/>
        <v>6.2500000000000001E-4</v>
      </c>
      <c r="I402" s="10">
        <f t="shared" si="29"/>
        <v>1</v>
      </c>
      <c r="J402" s="11">
        <f t="shared" si="30"/>
        <v>1.25E-3</v>
      </c>
      <c r="K402" s="197">
        <v>0.04</v>
      </c>
      <c r="L402" s="4">
        <v>4.4999999999999998E-2</v>
      </c>
      <c r="M402" s="4"/>
      <c r="O402" s="183" t="s">
        <v>10</v>
      </c>
      <c r="P402" s="184">
        <f>P395</f>
        <v>1000</v>
      </c>
      <c r="Q402" s="207">
        <f>P402*INDEX($J$395:$J$414,MATCH(P402,$A$395:$A$414,1))</f>
        <v>1.875</v>
      </c>
      <c r="R402" s="207">
        <f>P402*INDEX($K$395:$K$414,MATCH(P402,$A$395:$A$414),1)</f>
        <v>120</v>
      </c>
      <c r="S402" s="208">
        <f>IF(AND($D$363=0,$E$363=0),0,IF(AND($D$363&gt;0, $E$363&gt;0),MAX(Q402,P402*INDEX($K$395:$K$414,MATCH(P402,$A$395:$A$414))),""))</f>
        <v>0</v>
      </c>
      <c r="U402" s="4">
        <f>AB402</f>
        <v>0</v>
      </c>
      <c r="W402" s="4">
        <f>D363</f>
        <v>0</v>
      </c>
      <c r="X402" s="4">
        <f>E363</f>
        <v>0</v>
      </c>
      <c r="Y402" s="4">
        <f>W402*X402/100</f>
        <v>0</v>
      </c>
      <c r="Z402" s="4">
        <f>Y402*0.25*2</f>
        <v>0</v>
      </c>
      <c r="AA402" s="4">
        <v>30</v>
      </c>
      <c r="AB402" s="4">
        <f>IF(OR(W402=0,X402=0),0,IF(Z402&lt;30,MAX(30,AA402),Z402))</f>
        <v>0</v>
      </c>
    </row>
    <row r="403" spans="1:28" x14ac:dyDescent="0.25">
      <c r="A403" s="72">
        <v>5000</v>
      </c>
      <c r="B403" s="72">
        <v>6999</v>
      </c>
      <c r="C403" s="196">
        <f t="shared" si="24"/>
        <v>2.5000000000000001E-3</v>
      </c>
      <c r="D403" s="4">
        <f t="shared" si="25"/>
        <v>0</v>
      </c>
      <c r="E403" s="4">
        <f t="shared" si="26"/>
        <v>0</v>
      </c>
      <c r="F403" s="4">
        <f t="shared" si="27"/>
        <v>0.5</v>
      </c>
      <c r="G403" s="4">
        <f t="shared" si="27"/>
        <v>0.5</v>
      </c>
      <c r="H403" s="197">
        <f t="shared" si="28"/>
        <v>6.2500000000000001E-4</v>
      </c>
      <c r="I403" s="39">
        <f t="shared" si="29"/>
        <v>0.95</v>
      </c>
      <c r="J403" s="197">
        <f t="shared" si="30"/>
        <v>1.1875E-3</v>
      </c>
      <c r="K403" s="197">
        <v>0.04</v>
      </c>
      <c r="L403" s="4">
        <v>4.4999999999999998E-2</v>
      </c>
      <c r="M403" s="4"/>
      <c r="O403" s="188" t="s">
        <v>11</v>
      </c>
      <c r="P403" s="184">
        <f>P396</f>
        <v>2000</v>
      </c>
      <c r="Q403" s="185">
        <f>P403*INDEX($J$395:$J$414,MATCH(P403,$A$395:$A$414,1))</f>
        <v>3.2500000000000004</v>
      </c>
      <c r="R403" s="185">
        <f>P403*INDEX($K$395:$K$414,MATCH(P403,$A$395:$A$414),1)</f>
        <v>120</v>
      </c>
      <c r="S403" s="209">
        <f>IF(AND($D$363=0,$E$363=0),0,IF(AND($D$363&gt;0, $E$363&gt;0),MAX(Q403,P403*INDEX($K$395:$K$414,MATCH(P403,$A$395:$A$414))),""))</f>
        <v>0</v>
      </c>
      <c r="U403" s="4">
        <f>U402</f>
        <v>0</v>
      </c>
    </row>
    <row r="404" spans="1:28" x14ac:dyDescent="0.25">
      <c r="A404" s="72">
        <v>7000</v>
      </c>
      <c r="B404" s="72">
        <v>9999</v>
      </c>
      <c r="C404" s="196">
        <f t="shared" si="24"/>
        <v>2.5000000000000001E-3</v>
      </c>
      <c r="D404" s="4">
        <f t="shared" si="25"/>
        <v>0</v>
      </c>
      <c r="E404" s="4">
        <f t="shared" si="26"/>
        <v>0</v>
      </c>
      <c r="F404" s="4">
        <f t="shared" si="27"/>
        <v>0.5</v>
      </c>
      <c r="G404" s="4">
        <f t="shared" si="27"/>
        <v>0.5</v>
      </c>
      <c r="H404" s="197">
        <f t="shared" si="28"/>
        <v>6.2500000000000001E-4</v>
      </c>
      <c r="I404" s="39">
        <f t="shared" si="29"/>
        <v>0.9</v>
      </c>
      <c r="J404" s="197">
        <f t="shared" si="30"/>
        <v>1.1250000000000001E-3</v>
      </c>
      <c r="K404" s="197">
        <v>0.04</v>
      </c>
      <c r="L404" s="4">
        <v>4.4999999999999998E-2</v>
      </c>
      <c r="M404" s="4"/>
      <c r="O404" s="188" t="s">
        <v>12</v>
      </c>
      <c r="P404" s="184">
        <f>P397</f>
        <v>3000</v>
      </c>
      <c r="Q404" s="185">
        <f>P404*INDEX($J$395:$J$414,MATCH(P404,$A$395:$A$414,1))</f>
        <v>3.75</v>
      </c>
      <c r="R404" s="185">
        <f>P404*INDEX($K$395:$K$414,MATCH(P404,$A$395:$A$414),1)</f>
        <v>120</v>
      </c>
      <c r="S404" s="209">
        <f>IF(AND($D$363=0,$E$363=0),0,IF(AND($D$363&gt;0, $E$363&gt;0),MAX(Q404,P404*INDEX($K$395:$K$414,MATCH(P404,$A$395:$A$414))),""))</f>
        <v>0</v>
      </c>
      <c r="U404" s="4">
        <f>U402</f>
        <v>0</v>
      </c>
    </row>
    <row r="405" spans="1:28" x14ac:dyDescent="0.25">
      <c r="A405" s="72">
        <v>10000</v>
      </c>
      <c r="B405" s="72">
        <v>14999</v>
      </c>
      <c r="C405" s="196">
        <f t="shared" si="24"/>
        <v>2.5000000000000001E-3</v>
      </c>
      <c r="D405" s="4">
        <f t="shared" si="25"/>
        <v>0</v>
      </c>
      <c r="E405" s="4">
        <f t="shared" si="26"/>
        <v>0</v>
      </c>
      <c r="F405" s="4">
        <f t="shared" si="27"/>
        <v>0.5</v>
      </c>
      <c r="G405" s="4">
        <f t="shared" si="27"/>
        <v>0.5</v>
      </c>
      <c r="H405" s="197">
        <f t="shared" si="28"/>
        <v>6.2500000000000001E-4</v>
      </c>
      <c r="I405" s="39">
        <f t="shared" si="29"/>
        <v>0.85</v>
      </c>
      <c r="J405" s="197">
        <f t="shared" si="30"/>
        <v>1.0625000000000001E-3</v>
      </c>
      <c r="K405" s="197">
        <v>0.04</v>
      </c>
      <c r="L405" s="4">
        <v>4.4999999999999998E-2</v>
      </c>
      <c r="M405" s="4"/>
      <c r="O405" s="188" t="s">
        <v>13</v>
      </c>
      <c r="P405" s="184">
        <f>P398</f>
        <v>4000</v>
      </c>
      <c r="Q405" s="185">
        <f>P405*INDEX($J$395:$J$414,MATCH(P405,$A$395:$A$414,1))</f>
        <v>5</v>
      </c>
      <c r="R405" s="185">
        <f>P405*INDEX($K$395:$K$414,MATCH(P405,$A$395:$A$414),1)</f>
        <v>160</v>
      </c>
      <c r="S405" s="209">
        <f>IF(AND($D$363=0,$E$363=0),0,IF(AND($D$363&gt;0, $E$363&gt;0),MAX(Q405,P405*INDEX($K$395:$K$414,MATCH(P405,$A$395:$A$414))),""))</f>
        <v>0</v>
      </c>
      <c r="U405" s="4">
        <f>U402</f>
        <v>0</v>
      </c>
    </row>
    <row r="406" spans="1:28" x14ac:dyDescent="0.25">
      <c r="A406" s="72">
        <v>15000</v>
      </c>
      <c r="B406" s="72">
        <v>19999</v>
      </c>
      <c r="C406" s="196">
        <f t="shared" si="24"/>
        <v>2.5000000000000001E-3</v>
      </c>
      <c r="D406" s="4">
        <f t="shared" si="25"/>
        <v>0</v>
      </c>
      <c r="E406" s="4">
        <f t="shared" si="26"/>
        <v>0</v>
      </c>
      <c r="F406" s="4">
        <f t="shared" si="27"/>
        <v>0.5</v>
      </c>
      <c r="G406" s="4">
        <f t="shared" si="27"/>
        <v>0.5</v>
      </c>
      <c r="H406" s="197">
        <f t="shared" si="28"/>
        <v>6.2500000000000001E-4</v>
      </c>
      <c r="I406" s="39">
        <f t="shared" si="29"/>
        <v>0.8</v>
      </c>
      <c r="J406" s="197">
        <f t="shared" si="30"/>
        <v>1E-3</v>
      </c>
      <c r="K406" s="197">
        <v>0.04</v>
      </c>
      <c r="L406" s="4">
        <v>4.4999999999999998E-2</v>
      </c>
      <c r="M406" s="4"/>
    </row>
    <row r="407" spans="1:28" x14ac:dyDescent="0.25">
      <c r="A407" s="72">
        <v>20000</v>
      </c>
      <c r="B407" s="72">
        <v>29999</v>
      </c>
      <c r="C407" s="196">
        <f t="shared" si="24"/>
        <v>2.5000000000000001E-3</v>
      </c>
      <c r="D407" s="4">
        <f t="shared" si="25"/>
        <v>0</v>
      </c>
      <c r="E407" s="4">
        <f t="shared" si="26"/>
        <v>0</v>
      </c>
      <c r="F407" s="4">
        <f t="shared" si="27"/>
        <v>0.5</v>
      </c>
      <c r="G407" s="4">
        <f t="shared" si="27"/>
        <v>0.5</v>
      </c>
      <c r="H407" s="197">
        <f t="shared" si="28"/>
        <v>6.2500000000000001E-4</v>
      </c>
      <c r="I407" s="39">
        <f t="shared" si="29"/>
        <v>0.78</v>
      </c>
      <c r="J407" s="197">
        <f t="shared" si="30"/>
        <v>9.7500000000000006E-4</v>
      </c>
      <c r="K407" s="197">
        <v>0.04</v>
      </c>
      <c r="L407" s="4">
        <v>4.4999999999999998E-2</v>
      </c>
      <c r="M407" s="4"/>
    </row>
    <row r="408" spans="1:28" ht="34.9" customHeight="1" x14ac:dyDescent="0.25">
      <c r="A408" s="72">
        <v>30000</v>
      </c>
      <c r="B408" s="72">
        <v>49999</v>
      </c>
      <c r="C408" s="196">
        <f t="shared" si="24"/>
        <v>2.5000000000000001E-3</v>
      </c>
      <c r="D408" s="4">
        <f t="shared" si="25"/>
        <v>0</v>
      </c>
      <c r="E408" s="4">
        <f t="shared" si="26"/>
        <v>0</v>
      </c>
      <c r="F408" s="4">
        <f t="shared" si="27"/>
        <v>0.5</v>
      </c>
      <c r="G408" s="4">
        <f t="shared" si="27"/>
        <v>0.5</v>
      </c>
      <c r="H408" s="197">
        <f t="shared" si="28"/>
        <v>6.2500000000000001E-4</v>
      </c>
      <c r="I408" s="39">
        <f t="shared" si="29"/>
        <v>0.76</v>
      </c>
      <c r="J408" s="197">
        <f t="shared" si="30"/>
        <v>9.5E-4</v>
      </c>
      <c r="K408" s="197">
        <v>0.04</v>
      </c>
      <c r="L408" s="4">
        <v>4.4999999999999998E-2</v>
      </c>
      <c r="M408" s="4"/>
      <c r="Q408" s="153" t="s">
        <v>284</v>
      </c>
      <c r="R408" s="4" t="s">
        <v>285</v>
      </c>
      <c r="S408" s="205" t="s">
        <v>286</v>
      </c>
      <c r="T408" s="4"/>
      <c r="U408" s="93" t="s">
        <v>287</v>
      </c>
      <c r="W408" s="4" t="s">
        <v>288</v>
      </c>
      <c r="X408" s="4" t="s">
        <v>289</v>
      </c>
      <c r="Y408" s="4" t="s">
        <v>272</v>
      </c>
      <c r="Z408" s="93" t="s">
        <v>273</v>
      </c>
      <c r="AA408" s="4" t="s">
        <v>274</v>
      </c>
      <c r="AB408" s="4" t="s">
        <v>275</v>
      </c>
    </row>
    <row r="409" spans="1:28" x14ac:dyDescent="0.25">
      <c r="A409" s="72">
        <v>50000</v>
      </c>
      <c r="B409" s="72">
        <v>74999</v>
      </c>
      <c r="C409" s="196">
        <f t="shared" si="24"/>
        <v>2.5000000000000001E-3</v>
      </c>
      <c r="D409" s="4">
        <f t="shared" si="25"/>
        <v>0</v>
      </c>
      <c r="E409" s="4">
        <f t="shared" si="26"/>
        <v>0</v>
      </c>
      <c r="F409" s="4">
        <f t="shared" si="27"/>
        <v>0.5</v>
      </c>
      <c r="G409" s="4">
        <f t="shared" si="27"/>
        <v>0.5</v>
      </c>
      <c r="H409" s="197">
        <f t="shared" si="28"/>
        <v>6.2500000000000001E-4</v>
      </c>
      <c r="I409" s="39">
        <f t="shared" si="29"/>
        <v>0.74</v>
      </c>
      <c r="J409" s="197">
        <f t="shared" si="30"/>
        <v>9.2500000000000004E-4</v>
      </c>
      <c r="K409" s="197">
        <v>0.04</v>
      </c>
      <c r="L409" s="4">
        <v>4.4999999999999998E-2</v>
      </c>
      <c r="M409" s="4"/>
      <c r="O409" s="183" t="s">
        <v>10</v>
      </c>
      <c r="P409" s="184">
        <f>P395</f>
        <v>1000</v>
      </c>
      <c r="Q409" s="207">
        <f>P409*INDEX($J$421:$J$440,MATCH(P409,$A$421:$A$440,1))</f>
        <v>1.875</v>
      </c>
      <c r="R409" s="207">
        <f>P409*INDEX($K$421:$K$440,MATCH(P409,$A$421:$A$440,1))</f>
        <v>120</v>
      </c>
      <c r="S409" s="210">
        <f>IF(AND($D$364=0,$E$364=0),0,IF(AND($D$364&gt;0, $E$364&gt;0),MAX(Q409,P409*INDEX($K$421:$K$440,MATCH(P409,$A$421:$A$440))),""))</f>
        <v>0</v>
      </c>
      <c r="U409" s="4">
        <f>AB409</f>
        <v>0</v>
      </c>
      <c r="W409" s="4">
        <f>D364</f>
        <v>0</v>
      </c>
      <c r="X409" s="4">
        <f>E364</f>
        <v>0</v>
      </c>
      <c r="Y409" s="4">
        <f>W409*X409/100</f>
        <v>0</v>
      </c>
      <c r="Z409" s="4">
        <f>Y409*0.25*2</f>
        <v>0</v>
      </c>
      <c r="AA409" s="4">
        <v>30</v>
      </c>
      <c r="AB409" s="4">
        <f>IF(OR(W409=0,X409=0),0,IF(Z409&lt;30,MAX(30,AA409),Z409))</f>
        <v>0</v>
      </c>
    </row>
    <row r="410" spans="1:28" x14ac:dyDescent="0.25">
      <c r="A410" s="72">
        <v>75000</v>
      </c>
      <c r="B410" s="72">
        <v>99999</v>
      </c>
      <c r="C410" s="196">
        <f t="shared" si="24"/>
        <v>2.5000000000000001E-3</v>
      </c>
      <c r="D410" s="4">
        <f t="shared" si="25"/>
        <v>0</v>
      </c>
      <c r="E410" s="4">
        <f t="shared" si="26"/>
        <v>0</v>
      </c>
      <c r="F410" s="4">
        <f t="shared" si="27"/>
        <v>0.5</v>
      </c>
      <c r="G410" s="4">
        <f t="shared" si="27"/>
        <v>0.5</v>
      </c>
      <c r="H410" s="197">
        <f t="shared" si="28"/>
        <v>6.2500000000000001E-4</v>
      </c>
      <c r="I410" s="39">
        <f t="shared" si="29"/>
        <v>0.72</v>
      </c>
      <c r="J410" s="197">
        <f t="shared" si="30"/>
        <v>8.9999999999999998E-4</v>
      </c>
      <c r="K410" s="197">
        <v>0.04</v>
      </c>
      <c r="L410" s="4">
        <v>4.4999999999999998E-2</v>
      </c>
      <c r="M410" s="4"/>
      <c r="O410" s="188" t="s">
        <v>11</v>
      </c>
      <c r="P410" s="184">
        <f>P396</f>
        <v>2000</v>
      </c>
      <c r="Q410" s="185">
        <f>P410*INDEX($J$421:$J$440,MATCH(P410,$A$421:$A$440,1))</f>
        <v>3.2500000000000004</v>
      </c>
      <c r="R410" s="185">
        <f>P410*INDEX($K$421:$K$440,MATCH(P410,$A$421:$A$440,1))</f>
        <v>120</v>
      </c>
      <c r="S410" s="209">
        <f>IF(AND($D$364=0,$E$364=0),0,IF(AND($D$364&gt;0, $E$364&gt;0),MAX(Q410,P410*INDEX($K$421:$K$440,MATCH(P410,$A$421:$A$440))),""))</f>
        <v>0</v>
      </c>
      <c r="U410" s="4">
        <f>U409</f>
        <v>0</v>
      </c>
    </row>
    <row r="411" spans="1:28" x14ac:dyDescent="0.25">
      <c r="A411" s="72">
        <v>100000</v>
      </c>
      <c r="B411" s="72">
        <v>149999</v>
      </c>
      <c r="C411" s="196">
        <f t="shared" si="24"/>
        <v>2.5000000000000001E-3</v>
      </c>
      <c r="D411" s="4">
        <f t="shared" si="25"/>
        <v>0</v>
      </c>
      <c r="E411" s="4">
        <f t="shared" si="26"/>
        <v>0</v>
      </c>
      <c r="F411" s="4">
        <f t="shared" si="27"/>
        <v>0.5</v>
      </c>
      <c r="G411" s="4">
        <f t="shared" si="27"/>
        <v>0.5</v>
      </c>
      <c r="H411" s="197">
        <f t="shared" si="28"/>
        <v>6.2500000000000001E-4</v>
      </c>
      <c r="I411" s="39">
        <f t="shared" si="29"/>
        <v>0.7</v>
      </c>
      <c r="J411" s="197">
        <f t="shared" si="30"/>
        <v>8.7499999999999991E-4</v>
      </c>
      <c r="K411" s="197">
        <v>0.04</v>
      </c>
      <c r="L411" s="4">
        <v>4.4999999999999998E-2</v>
      </c>
      <c r="M411" s="4"/>
      <c r="O411" s="188" t="s">
        <v>12</v>
      </c>
      <c r="P411" s="184">
        <f>P397</f>
        <v>3000</v>
      </c>
      <c r="Q411" s="185">
        <f>P411*INDEX($J$421:$J$440,MATCH(P411,$A$421:$A$440,1))</f>
        <v>3.75</v>
      </c>
      <c r="R411" s="185">
        <f>P411*INDEX($K$421:$K$440,MATCH(P411,$A$421:$A$440,1))</f>
        <v>120</v>
      </c>
      <c r="S411" s="209">
        <f>IF(AND($D$364=0,$E$364=0),0,IF(AND($D$364&gt;0, $E$364&gt;0),MAX(Q411,P411*INDEX($K$421:$K$440,MATCH(P411,$A$421:$A$440))),""))</f>
        <v>0</v>
      </c>
      <c r="U411" s="4">
        <f>U409</f>
        <v>0</v>
      </c>
    </row>
    <row r="412" spans="1:28" x14ac:dyDescent="0.25">
      <c r="A412" s="72">
        <v>150000</v>
      </c>
      <c r="B412" s="72">
        <v>199999</v>
      </c>
      <c r="C412" s="196">
        <f t="shared" si="24"/>
        <v>2.5000000000000001E-3</v>
      </c>
      <c r="D412" s="4">
        <f t="shared" si="25"/>
        <v>0</v>
      </c>
      <c r="E412" s="4">
        <f t="shared" si="26"/>
        <v>0</v>
      </c>
      <c r="F412" s="4">
        <f t="shared" si="27"/>
        <v>0.5</v>
      </c>
      <c r="G412" s="4">
        <f t="shared" si="27"/>
        <v>0.5</v>
      </c>
      <c r="H412" s="197">
        <f t="shared" si="28"/>
        <v>6.2500000000000001E-4</v>
      </c>
      <c r="I412" s="39">
        <f t="shared" si="29"/>
        <v>0.68</v>
      </c>
      <c r="J412" s="197">
        <f t="shared" si="30"/>
        <v>8.5000000000000006E-4</v>
      </c>
      <c r="K412" s="197">
        <v>0.04</v>
      </c>
      <c r="L412" s="4">
        <v>4.4999999999999998E-2</v>
      </c>
      <c r="M412" s="4"/>
      <c r="O412" s="188" t="s">
        <v>13</v>
      </c>
      <c r="P412" s="184">
        <f>P398</f>
        <v>4000</v>
      </c>
      <c r="Q412" s="185">
        <f>P412*INDEX($J$421:$J$440,MATCH(P412,$A$421:$A$440,1))</f>
        <v>5</v>
      </c>
      <c r="R412" s="185">
        <f>P412*INDEX($K$421:$K$440,MATCH(P412,$A$421:$A$440,1))</f>
        <v>160</v>
      </c>
      <c r="S412" s="209">
        <f>IF(AND($D$364=0,$E$364=0),0,IF(AND($D$364&gt;0, $E$364&gt;0),MAX(Q412,P412*INDEX($K$421:$K$440,MATCH(P412,$A$421:$A$440))),""))</f>
        <v>0</v>
      </c>
      <c r="U412" s="4">
        <f>U409</f>
        <v>0</v>
      </c>
    </row>
    <row r="413" spans="1:28" x14ac:dyDescent="0.25">
      <c r="A413" s="72">
        <v>200000</v>
      </c>
      <c r="B413" s="72">
        <v>399999</v>
      </c>
      <c r="C413" s="196">
        <f t="shared" si="24"/>
        <v>2.5000000000000001E-3</v>
      </c>
      <c r="D413" s="4">
        <f t="shared" si="25"/>
        <v>0</v>
      </c>
      <c r="E413" s="4">
        <f t="shared" si="26"/>
        <v>0</v>
      </c>
      <c r="F413" s="4">
        <f t="shared" si="27"/>
        <v>0.5</v>
      </c>
      <c r="G413" s="4">
        <f t="shared" si="27"/>
        <v>0.5</v>
      </c>
      <c r="H413" s="197">
        <f t="shared" si="28"/>
        <v>6.2500000000000001E-4</v>
      </c>
      <c r="I413" s="39">
        <f t="shared" si="29"/>
        <v>0.66</v>
      </c>
      <c r="J413" s="197">
        <f t="shared" si="30"/>
        <v>8.250000000000001E-4</v>
      </c>
      <c r="K413" s="197">
        <v>0.04</v>
      </c>
      <c r="L413" s="4">
        <v>4.4999999999999998E-2</v>
      </c>
      <c r="M413" s="4"/>
    </row>
    <row r="414" spans="1:28" x14ac:dyDescent="0.25">
      <c r="A414" s="72">
        <v>400000</v>
      </c>
      <c r="B414" s="72">
        <v>1000000</v>
      </c>
      <c r="C414" s="196">
        <f t="shared" si="24"/>
        <v>2.5000000000000001E-3</v>
      </c>
      <c r="D414" s="4">
        <f t="shared" si="25"/>
        <v>0</v>
      </c>
      <c r="E414" s="4">
        <f t="shared" si="26"/>
        <v>0</v>
      </c>
      <c r="F414" s="4">
        <f t="shared" si="27"/>
        <v>0.5</v>
      </c>
      <c r="G414" s="4">
        <f t="shared" si="27"/>
        <v>0.5</v>
      </c>
      <c r="H414" s="197">
        <f t="shared" si="28"/>
        <v>6.2500000000000001E-4</v>
      </c>
      <c r="I414" s="39">
        <f t="shared" si="29"/>
        <v>0.63</v>
      </c>
      <c r="J414" s="197">
        <f t="shared" si="30"/>
        <v>7.8750000000000001E-4</v>
      </c>
      <c r="K414" s="197">
        <v>0.04</v>
      </c>
      <c r="L414" s="4">
        <v>4.4999999999999998E-2</v>
      </c>
      <c r="M414" s="4"/>
    </row>
    <row r="417" spans="1:13" x14ac:dyDescent="0.25">
      <c r="D417" s="191" t="s">
        <v>36</v>
      </c>
    </row>
    <row r="418" spans="1:13" ht="14.45" customHeight="1" x14ac:dyDescent="0.25">
      <c r="C418" s="192" t="s">
        <v>242</v>
      </c>
      <c r="D418" s="193" t="str">
        <f>D12</f>
        <v>Green</v>
      </c>
      <c r="I418" s="131" t="s">
        <v>219</v>
      </c>
      <c r="J418" s="239" t="s">
        <v>290</v>
      </c>
      <c r="K418" s="236" t="s">
        <v>259</v>
      </c>
      <c r="L418" s="236" t="s">
        <v>260</v>
      </c>
      <c r="M418" s="236" t="s">
        <v>261</v>
      </c>
    </row>
    <row r="419" spans="1:13" x14ac:dyDescent="0.25">
      <c r="A419" s="1" t="s">
        <v>248</v>
      </c>
      <c r="C419" s="194" t="s">
        <v>249</v>
      </c>
      <c r="D419" s="234" t="s">
        <v>262</v>
      </c>
      <c r="E419" s="235"/>
      <c r="F419" s="16" t="s">
        <v>251</v>
      </c>
      <c r="G419" s="17"/>
      <c r="H419" s="195"/>
      <c r="I419" s="6" t="s">
        <v>221</v>
      </c>
      <c r="J419" s="240"/>
      <c r="K419" s="237"/>
      <c r="L419" s="237"/>
      <c r="M419" s="237"/>
    </row>
    <row r="420" spans="1:13" x14ac:dyDescent="0.25">
      <c r="A420" s="7" t="s">
        <v>252</v>
      </c>
      <c r="B420" s="7" t="s">
        <v>253</v>
      </c>
      <c r="C420" s="7"/>
      <c r="D420" s="7" t="s">
        <v>288</v>
      </c>
      <c r="E420" s="7" t="s">
        <v>289</v>
      </c>
      <c r="F420" s="7" t="s">
        <v>288</v>
      </c>
      <c r="G420" s="7" t="s">
        <v>289</v>
      </c>
      <c r="H420" s="7" t="s">
        <v>256</v>
      </c>
      <c r="I420" s="7" t="s">
        <v>223</v>
      </c>
      <c r="J420" s="7" t="s">
        <v>256</v>
      </c>
      <c r="K420" s="238"/>
      <c r="L420" s="238"/>
      <c r="M420" s="238"/>
    </row>
    <row r="421" spans="1:13" x14ac:dyDescent="0.25">
      <c r="A421" s="72">
        <v>100</v>
      </c>
      <c r="B421" s="72">
        <v>199</v>
      </c>
      <c r="C421" s="196">
        <f t="shared" ref="C421:C440" si="31">$C$369</f>
        <v>2.5000000000000001E-3</v>
      </c>
      <c r="D421" s="19">
        <f t="shared" ref="D421:D440" si="32">$D$364</f>
        <v>0</v>
      </c>
      <c r="E421" s="19">
        <f t="shared" ref="E421:E440" si="33">$E$364</f>
        <v>0</v>
      </c>
      <c r="F421" s="4">
        <f t="shared" ref="F421:G440" si="34">D421/25.4+0.5</f>
        <v>0.5</v>
      </c>
      <c r="G421" s="4">
        <f t="shared" si="34"/>
        <v>0.5</v>
      </c>
      <c r="H421" s="197">
        <f t="shared" ref="H421:H440" si="35">C421*F421*G421</f>
        <v>6.2500000000000001E-4</v>
      </c>
      <c r="I421" s="39">
        <f t="shared" ref="I421:I440" si="36">S344</f>
        <v>6</v>
      </c>
      <c r="J421" s="197">
        <f t="shared" ref="J421:J440" si="37">H421*2*I421</f>
        <v>7.4999999999999997E-3</v>
      </c>
      <c r="K421" s="197">
        <f>40/A421</f>
        <v>0.4</v>
      </c>
      <c r="L421" s="4">
        <v>60</v>
      </c>
      <c r="M421" s="4"/>
    </row>
    <row r="422" spans="1:13" x14ac:dyDescent="0.25">
      <c r="A422" s="72">
        <v>200</v>
      </c>
      <c r="B422" s="72">
        <v>299</v>
      </c>
      <c r="C422" s="196">
        <f t="shared" si="31"/>
        <v>2.5000000000000001E-3</v>
      </c>
      <c r="D422" s="19">
        <f t="shared" si="32"/>
        <v>0</v>
      </c>
      <c r="E422" s="19">
        <f t="shared" si="33"/>
        <v>0</v>
      </c>
      <c r="F422" s="4">
        <f t="shared" si="34"/>
        <v>0.5</v>
      </c>
      <c r="G422" s="4">
        <f t="shared" si="34"/>
        <v>0.5</v>
      </c>
      <c r="H422" s="197">
        <f t="shared" si="35"/>
        <v>6.2500000000000001E-4</v>
      </c>
      <c r="I422" s="39">
        <f t="shared" si="36"/>
        <v>4</v>
      </c>
      <c r="J422" s="197">
        <f t="shared" si="37"/>
        <v>5.0000000000000001E-3</v>
      </c>
      <c r="K422" s="197">
        <f>50/A422</f>
        <v>0.25</v>
      </c>
      <c r="L422" s="4">
        <v>75</v>
      </c>
      <c r="M422" s="4"/>
    </row>
    <row r="423" spans="1:13" x14ac:dyDescent="0.25">
      <c r="A423" s="72">
        <v>300</v>
      </c>
      <c r="B423" s="72">
        <v>399</v>
      </c>
      <c r="C423" s="196">
        <f t="shared" si="31"/>
        <v>2.5000000000000001E-3</v>
      </c>
      <c r="D423" s="19">
        <f t="shared" si="32"/>
        <v>0</v>
      </c>
      <c r="E423" s="19">
        <f t="shared" si="33"/>
        <v>0</v>
      </c>
      <c r="F423" s="4">
        <f t="shared" si="34"/>
        <v>0.5</v>
      </c>
      <c r="G423" s="4">
        <f t="shared" si="34"/>
        <v>0.5</v>
      </c>
      <c r="H423" s="197">
        <f t="shared" si="35"/>
        <v>6.2500000000000001E-4</v>
      </c>
      <c r="I423" s="39">
        <f t="shared" si="36"/>
        <v>2.2000000000000002</v>
      </c>
      <c r="J423" s="197">
        <f t="shared" si="37"/>
        <v>2.7500000000000003E-3</v>
      </c>
      <c r="K423" s="197">
        <f>50/A423</f>
        <v>0.16666666666666666</v>
      </c>
      <c r="L423" s="4">
        <v>75</v>
      </c>
      <c r="M423" s="4"/>
    </row>
    <row r="424" spans="1:13" x14ac:dyDescent="0.25">
      <c r="A424" s="72">
        <v>400</v>
      </c>
      <c r="B424" s="72">
        <v>499</v>
      </c>
      <c r="C424" s="196">
        <f t="shared" si="31"/>
        <v>2.5000000000000001E-3</v>
      </c>
      <c r="D424" s="19">
        <f t="shared" si="32"/>
        <v>0</v>
      </c>
      <c r="E424" s="19">
        <f t="shared" si="33"/>
        <v>0</v>
      </c>
      <c r="F424" s="4">
        <f t="shared" si="34"/>
        <v>0.5</v>
      </c>
      <c r="G424" s="4">
        <f t="shared" si="34"/>
        <v>0.5</v>
      </c>
      <c r="H424" s="197">
        <f t="shared" si="35"/>
        <v>6.2500000000000001E-4</v>
      </c>
      <c r="I424" s="39">
        <f t="shared" si="36"/>
        <v>1.8</v>
      </c>
      <c r="J424" s="197">
        <f t="shared" si="37"/>
        <v>2.2500000000000003E-3</v>
      </c>
      <c r="K424" s="197">
        <f>60/A424</f>
        <v>0.15</v>
      </c>
      <c r="L424" s="4">
        <v>90</v>
      </c>
      <c r="M424" s="4"/>
    </row>
    <row r="425" spans="1:13" x14ac:dyDescent="0.25">
      <c r="A425" s="72">
        <v>500</v>
      </c>
      <c r="B425" s="72">
        <v>999</v>
      </c>
      <c r="C425" s="196">
        <f t="shared" si="31"/>
        <v>2.5000000000000001E-3</v>
      </c>
      <c r="D425" s="19">
        <f t="shared" si="32"/>
        <v>0</v>
      </c>
      <c r="E425" s="19">
        <f t="shared" si="33"/>
        <v>0</v>
      </c>
      <c r="F425" s="4">
        <f t="shared" si="34"/>
        <v>0.5</v>
      </c>
      <c r="G425" s="4">
        <f t="shared" si="34"/>
        <v>0.5</v>
      </c>
      <c r="H425" s="197">
        <f t="shared" si="35"/>
        <v>6.2500000000000001E-4</v>
      </c>
      <c r="I425" s="39">
        <f t="shared" si="36"/>
        <v>1.6</v>
      </c>
      <c r="J425" s="197">
        <f t="shared" si="37"/>
        <v>2E-3</v>
      </c>
      <c r="K425" s="197">
        <f>80/A425</f>
        <v>0.16</v>
      </c>
      <c r="L425" s="4">
        <v>120</v>
      </c>
      <c r="M425" s="4"/>
    </row>
    <row r="426" spans="1:13" x14ac:dyDescent="0.25">
      <c r="A426" s="72">
        <v>1000</v>
      </c>
      <c r="B426" s="72">
        <v>1999</v>
      </c>
      <c r="C426" s="196">
        <f t="shared" si="31"/>
        <v>2.5000000000000001E-3</v>
      </c>
      <c r="D426" s="19">
        <f t="shared" si="32"/>
        <v>0</v>
      </c>
      <c r="E426" s="19">
        <f t="shared" si="33"/>
        <v>0</v>
      </c>
      <c r="F426" s="4">
        <f t="shared" si="34"/>
        <v>0.5</v>
      </c>
      <c r="G426" s="4">
        <f t="shared" si="34"/>
        <v>0.5</v>
      </c>
      <c r="H426" s="197">
        <f t="shared" si="35"/>
        <v>6.2500000000000001E-4</v>
      </c>
      <c r="I426" s="39">
        <f t="shared" si="36"/>
        <v>1.5</v>
      </c>
      <c r="J426" s="197">
        <f t="shared" si="37"/>
        <v>1.8749999999999999E-3</v>
      </c>
      <c r="K426" s="197">
        <f>120/A426</f>
        <v>0.12</v>
      </c>
      <c r="L426" s="4">
        <v>150</v>
      </c>
      <c r="M426" s="4"/>
    </row>
    <row r="427" spans="1:13" x14ac:dyDescent="0.25">
      <c r="A427" s="72">
        <v>2000</v>
      </c>
      <c r="B427" s="72">
        <v>2999</v>
      </c>
      <c r="C427" s="196">
        <f t="shared" si="31"/>
        <v>2.5000000000000001E-3</v>
      </c>
      <c r="D427" s="19">
        <f t="shared" si="32"/>
        <v>0</v>
      </c>
      <c r="E427" s="19">
        <f t="shared" si="33"/>
        <v>0</v>
      </c>
      <c r="F427" s="4">
        <f t="shared" si="34"/>
        <v>0.5</v>
      </c>
      <c r="G427" s="4">
        <f t="shared" si="34"/>
        <v>0.5</v>
      </c>
      <c r="H427" s="197">
        <f t="shared" si="35"/>
        <v>6.2500000000000001E-4</v>
      </c>
      <c r="I427" s="39">
        <f t="shared" si="36"/>
        <v>1.3</v>
      </c>
      <c r="J427" s="197">
        <f t="shared" si="37"/>
        <v>1.6250000000000001E-3</v>
      </c>
      <c r="K427" s="197">
        <f>120/A427</f>
        <v>0.06</v>
      </c>
      <c r="L427" s="4">
        <v>180</v>
      </c>
      <c r="M427" s="4"/>
    </row>
    <row r="428" spans="1:13" x14ac:dyDescent="0.25">
      <c r="A428" s="198">
        <v>3000</v>
      </c>
      <c r="B428" s="198">
        <v>4999</v>
      </c>
      <c r="C428" s="206">
        <f t="shared" si="31"/>
        <v>2.5000000000000001E-3</v>
      </c>
      <c r="D428" s="19">
        <f t="shared" si="32"/>
        <v>0</v>
      </c>
      <c r="E428" s="19">
        <f t="shared" si="33"/>
        <v>0</v>
      </c>
      <c r="F428" s="10">
        <f t="shared" si="34"/>
        <v>0.5</v>
      </c>
      <c r="G428" s="10">
        <f t="shared" si="34"/>
        <v>0.5</v>
      </c>
      <c r="H428" s="11">
        <f t="shared" si="35"/>
        <v>6.2500000000000001E-4</v>
      </c>
      <c r="I428" s="10">
        <f t="shared" si="36"/>
        <v>1</v>
      </c>
      <c r="J428" s="11">
        <f t="shared" si="37"/>
        <v>1.25E-3</v>
      </c>
      <c r="K428" s="197">
        <v>0.04</v>
      </c>
      <c r="L428" s="4">
        <v>4.4999999999999998E-2</v>
      </c>
      <c r="M428" s="4"/>
    </row>
    <row r="429" spans="1:13" x14ac:dyDescent="0.25">
      <c r="A429" s="72">
        <v>5000</v>
      </c>
      <c r="B429" s="72">
        <v>6999</v>
      </c>
      <c r="C429" s="196">
        <f t="shared" si="31"/>
        <v>2.5000000000000001E-3</v>
      </c>
      <c r="D429" s="19">
        <f t="shared" si="32"/>
        <v>0</v>
      </c>
      <c r="E429" s="19">
        <f t="shared" si="33"/>
        <v>0</v>
      </c>
      <c r="F429" s="4">
        <f t="shared" si="34"/>
        <v>0.5</v>
      </c>
      <c r="G429" s="4">
        <f t="shared" si="34"/>
        <v>0.5</v>
      </c>
      <c r="H429" s="197">
        <f t="shared" si="35"/>
        <v>6.2500000000000001E-4</v>
      </c>
      <c r="I429" s="39">
        <f t="shared" si="36"/>
        <v>0.95</v>
      </c>
      <c r="J429" s="197">
        <f t="shared" si="37"/>
        <v>1.1875E-3</v>
      </c>
      <c r="K429" s="197">
        <v>0.04</v>
      </c>
      <c r="L429" s="4">
        <v>4.4999999999999998E-2</v>
      </c>
      <c r="M429" s="4"/>
    </row>
    <row r="430" spans="1:13" x14ac:dyDescent="0.25">
      <c r="A430" s="72">
        <v>7000</v>
      </c>
      <c r="B430" s="72">
        <v>9999</v>
      </c>
      <c r="C430" s="196">
        <f t="shared" si="31"/>
        <v>2.5000000000000001E-3</v>
      </c>
      <c r="D430" s="19">
        <f t="shared" si="32"/>
        <v>0</v>
      </c>
      <c r="E430" s="19">
        <f t="shared" si="33"/>
        <v>0</v>
      </c>
      <c r="F430" s="4">
        <f t="shared" si="34"/>
        <v>0.5</v>
      </c>
      <c r="G430" s="4">
        <f t="shared" si="34"/>
        <v>0.5</v>
      </c>
      <c r="H430" s="197">
        <f t="shared" si="35"/>
        <v>6.2500000000000001E-4</v>
      </c>
      <c r="I430" s="39">
        <f t="shared" si="36"/>
        <v>0.9</v>
      </c>
      <c r="J430" s="197">
        <f t="shared" si="37"/>
        <v>1.1250000000000001E-3</v>
      </c>
      <c r="K430" s="197">
        <v>0.04</v>
      </c>
      <c r="L430" s="4">
        <v>4.4999999999999998E-2</v>
      </c>
      <c r="M430" s="4"/>
    </row>
    <row r="431" spans="1:13" x14ac:dyDescent="0.25">
      <c r="A431" s="72">
        <v>10000</v>
      </c>
      <c r="B431" s="72">
        <v>14999</v>
      </c>
      <c r="C431" s="196">
        <f t="shared" si="31"/>
        <v>2.5000000000000001E-3</v>
      </c>
      <c r="D431" s="19">
        <f t="shared" si="32"/>
        <v>0</v>
      </c>
      <c r="E431" s="19">
        <f t="shared" si="33"/>
        <v>0</v>
      </c>
      <c r="F431" s="4">
        <f t="shared" si="34"/>
        <v>0.5</v>
      </c>
      <c r="G431" s="4">
        <f t="shared" si="34"/>
        <v>0.5</v>
      </c>
      <c r="H431" s="197">
        <f t="shared" si="35"/>
        <v>6.2500000000000001E-4</v>
      </c>
      <c r="I431" s="39">
        <f t="shared" si="36"/>
        <v>0.85</v>
      </c>
      <c r="J431" s="197">
        <f t="shared" si="37"/>
        <v>1.0625000000000001E-3</v>
      </c>
      <c r="K431" s="197">
        <v>0.04</v>
      </c>
      <c r="L431" s="4">
        <v>4.4999999999999998E-2</v>
      </c>
      <c r="M431" s="4"/>
    </row>
    <row r="432" spans="1:13" x14ac:dyDescent="0.25">
      <c r="A432" s="72">
        <v>15000</v>
      </c>
      <c r="B432" s="72">
        <v>19999</v>
      </c>
      <c r="C432" s="196">
        <f t="shared" si="31"/>
        <v>2.5000000000000001E-3</v>
      </c>
      <c r="D432" s="19">
        <f t="shared" si="32"/>
        <v>0</v>
      </c>
      <c r="E432" s="19">
        <f t="shared" si="33"/>
        <v>0</v>
      </c>
      <c r="F432" s="4">
        <f t="shared" si="34"/>
        <v>0.5</v>
      </c>
      <c r="G432" s="4">
        <f t="shared" si="34"/>
        <v>0.5</v>
      </c>
      <c r="H432" s="197">
        <f t="shared" si="35"/>
        <v>6.2500000000000001E-4</v>
      </c>
      <c r="I432" s="39">
        <f t="shared" si="36"/>
        <v>0.8</v>
      </c>
      <c r="J432" s="197">
        <f t="shared" si="37"/>
        <v>1E-3</v>
      </c>
      <c r="K432" s="197">
        <v>0.04</v>
      </c>
      <c r="L432" s="4">
        <v>4.4999999999999998E-2</v>
      </c>
      <c r="M432" s="4"/>
    </row>
    <row r="433" spans="1:30" x14ac:dyDescent="0.25">
      <c r="A433" s="72">
        <v>20000</v>
      </c>
      <c r="B433" s="72">
        <v>29999</v>
      </c>
      <c r="C433" s="196">
        <f t="shared" si="31"/>
        <v>2.5000000000000001E-3</v>
      </c>
      <c r="D433" s="19">
        <f t="shared" si="32"/>
        <v>0</v>
      </c>
      <c r="E433" s="19">
        <f t="shared" si="33"/>
        <v>0</v>
      </c>
      <c r="F433" s="4">
        <f t="shared" si="34"/>
        <v>0.5</v>
      </c>
      <c r="G433" s="4">
        <f t="shared" si="34"/>
        <v>0.5</v>
      </c>
      <c r="H433" s="197">
        <f t="shared" si="35"/>
        <v>6.2500000000000001E-4</v>
      </c>
      <c r="I433" s="39">
        <f t="shared" si="36"/>
        <v>0.78</v>
      </c>
      <c r="J433" s="197">
        <f t="shared" si="37"/>
        <v>9.7500000000000006E-4</v>
      </c>
      <c r="K433" s="197">
        <v>0.04</v>
      </c>
      <c r="L433" s="4">
        <v>4.4999999999999998E-2</v>
      </c>
      <c r="M433" s="4"/>
    </row>
    <row r="434" spans="1:30" x14ac:dyDescent="0.25">
      <c r="A434" s="72">
        <v>30000</v>
      </c>
      <c r="B434" s="72">
        <v>49999</v>
      </c>
      <c r="C434" s="196">
        <f t="shared" si="31"/>
        <v>2.5000000000000001E-3</v>
      </c>
      <c r="D434" s="19">
        <f t="shared" si="32"/>
        <v>0</v>
      </c>
      <c r="E434" s="19">
        <f t="shared" si="33"/>
        <v>0</v>
      </c>
      <c r="F434" s="4">
        <f t="shared" si="34"/>
        <v>0.5</v>
      </c>
      <c r="G434" s="4">
        <f t="shared" si="34"/>
        <v>0.5</v>
      </c>
      <c r="H434" s="197">
        <f t="shared" si="35"/>
        <v>6.2500000000000001E-4</v>
      </c>
      <c r="I434" s="39">
        <f t="shared" si="36"/>
        <v>0.76</v>
      </c>
      <c r="J434" s="197">
        <f t="shared" si="37"/>
        <v>9.5E-4</v>
      </c>
      <c r="K434" s="197">
        <v>0.04</v>
      </c>
      <c r="L434" s="4">
        <v>4.4999999999999998E-2</v>
      </c>
      <c r="M434" s="4"/>
    </row>
    <row r="435" spans="1:30" x14ac:dyDescent="0.25">
      <c r="A435" s="72">
        <v>50000</v>
      </c>
      <c r="B435" s="72">
        <v>74999</v>
      </c>
      <c r="C435" s="196">
        <f t="shared" si="31"/>
        <v>2.5000000000000001E-3</v>
      </c>
      <c r="D435" s="19">
        <f t="shared" si="32"/>
        <v>0</v>
      </c>
      <c r="E435" s="19">
        <f t="shared" si="33"/>
        <v>0</v>
      </c>
      <c r="F435" s="4">
        <f t="shared" si="34"/>
        <v>0.5</v>
      </c>
      <c r="G435" s="4">
        <f t="shared" si="34"/>
        <v>0.5</v>
      </c>
      <c r="H435" s="197">
        <f t="shared" si="35"/>
        <v>6.2500000000000001E-4</v>
      </c>
      <c r="I435" s="39">
        <f t="shared" si="36"/>
        <v>0.74</v>
      </c>
      <c r="J435" s="197">
        <f t="shared" si="37"/>
        <v>9.2500000000000004E-4</v>
      </c>
      <c r="K435" s="197">
        <v>0.04</v>
      </c>
      <c r="L435" s="4">
        <v>4.4999999999999998E-2</v>
      </c>
      <c r="M435" s="4"/>
    </row>
    <row r="436" spans="1:30" x14ac:dyDescent="0.25">
      <c r="A436" s="72">
        <v>75000</v>
      </c>
      <c r="B436" s="72">
        <v>99999</v>
      </c>
      <c r="C436" s="196">
        <f t="shared" si="31"/>
        <v>2.5000000000000001E-3</v>
      </c>
      <c r="D436" s="19">
        <f t="shared" si="32"/>
        <v>0</v>
      </c>
      <c r="E436" s="19">
        <f t="shared" si="33"/>
        <v>0</v>
      </c>
      <c r="F436" s="4">
        <f t="shared" si="34"/>
        <v>0.5</v>
      </c>
      <c r="G436" s="4">
        <f t="shared" si="34"/>
        <v>0.5</v>
      </c>
      <c r="H436" s="197">
        <f t="shared" si="35"/>
        <v>6.2500000000000001E-4</v>
      </c>
      <c r="I436" s="39">
        <f t="shared" si="36"/>
        <v>0.72</v>
      </c>
      <c r="J436" s="197">
        <f t="shared" si="37"/>
        <v>8.9999999999999998E-4</v>
      </c>
      <c r="K436" s="197">
        <v>0.04</v>
      </c>
      <c r="L436" s="4">
        <v>4.4999999999999998E-2</v>
      </c>
      <c r="M436" s="4"/>
    </row>
    <row r="437" spans="1:30" x14ac:dyDescent="0.25">
      <c r="A437" s="72">
        <v>100000</v>
      </c>
      <c r="B437" s="72">
        <v>149999</v>
      </c>
      <c r="C437" s="196">
        <f t="shared" si="31"/>
        <v>2.5000000000000001E-3</v>
      </c>
      <c r="D437" s="19">
        <f t="shared" si="32"/>
        <v>0</v>
      </c>
      <c r="E437" s="19">
        <f t="shared" si="33"/>
        <v>0</v>
      </c>
      <c r="F437" s="4">
        <f t="shared" si="34"/>
        <v>0.5</v>
      </c>
      <c r="G437" s="4">
        <f t="shared" si="34"/>
        <v>0.5</v>
      </c>
      <c r="H437" s="197">
        <f t="shared" si="35"/>
        <v>6.2500000000000001E-4</v>
      </c>
      <c r="I437" s="39">
        <f t="shared" si="36"/>
        <v>0.7</v>
      </c>
      <c r="J437" s="197">
        <f t="shared" si="37"/>
        <v>8.7499999999999991E-4</v>
      </c>
      <c r="K437" s="197">
        <v>0.04</v>
      </c>
      <c r="L437" s="4">
        <v>4.4999999999999998E-2</v>
      </c>
      <c r="M437" s="4"/>
    </row>
    <row r="438" spans="1:30" x14ac:dyDescent="0.25">
      <c r="A438" s="72">
        <v>150000</v>
      </c>
      <c r="B438" s="72">
        <v>199999</v>
      </c>
      <c r="C438" s="196">
        <f t="shared" si="31"/>
        <v>2.5000000000000001E-3</v>
      </c>
      <c r="D438" s="19">
        <f t="shared" si="32"/>
        <v>0</v>
      </c>
      <c r="E438" s="19">
        <f t="shared" si="33"/>
        <v>0</v>
      </c>
      <c r="F438" s="4">
        <f t="shared" si="34"/>
        <v>0.5</v>
      </c>
      <c r="G438" s="4">
        <f t="shared" si="34"/>
        <v>0.5</v>
      </c>
      <c r="H438" s="197">
        <f t="shared" si="35"/>
        <v>6.2500000000000001E-4</v>
      </c>
      <c r="I438" s="39">
        <f t="shared" si="36"/>
        <v>0.68</v>
      </c>
      <c r="J438" s="197">
        <f t="shared" si="37"/>
        <v>8.5000000000000006E-4</v>
      </c>
      <c r="K438" s="197">
        <v>0.04</v>
      </c>
      <c r="L438" s="4">
        <v>4.4999999999999998E-2</v>
      </c>
      <c r="M438" s="4"/>
    </row>
    <row r="439" spans="1:30" x14ac:dyDescent="0.25">
      <c r="A439" s="72">
        <v>200000</v>
      </c>
      <c r="B439" s="72">
        <v>399999</v>
      </c>
      <c r="C439" s="196">
        <f t="shared" si="31"/>
        <v>2.5000000000000001E-3</v>
      </c>
      <c r="D439" s="19">
        <f t="shared" si="32"/>
        <v>0</v>
      </c>
      <c r="E439" s="19">
        <f t="shared" si="33"/>
        <v>0</v>
      </c>
      <c r="F439" s="4">
        <f t="shared" si="34"/>
        <v>0.5</v>
      </c>
      <c r="G439" s="4">
        <f t="shared" si="34"/>
        <v>0.5</v>
      </c>
      <c r="H439" s="197">
        <f t="shared" si="35"/>
        <v>6.2500000000000001E-4</v>
      </c>
      <c r="I439" s="39">
        <f t="shared" si="36"/>
        <v>0.66</v>
      </c>
      <c r="J439" s="197">
        <f t="shared" si="37"/>
        <v>8.250000000000001E-4</v>
      </c>
      <c r="K439" s="197">
        <v>0.04</v>
      </c>
      <c r="L439" s="4">
        <v>4.4999999999999998E-2</v>
      </c>
      <c r="M439" s="4"/>
    </row>
    <row r="440" spans="1:30" x14ac:dyDescent="0.25">
      <c r="A440" s="72">
        <v>400000</v>
      </c>
      <c r="B440" s="72">
        <v>1000000</v>
      </c>
      <c r="C440" s="196">
        <f t="shared" si="31"/>
        <v>2.5000000000000001E-3</v>
      </c>
      <c r="D440" s="19">
        <f t="shared" si="32"/>
        <v>0</v>
      </c>
      <c r="E440" s="19">
        <f t="shared" si="33"/>
        <v>0</v>
      </c>
      <c r="F440" s="4">
        <f t="shared" si="34"/>
        <v>0.5</v>
      </c>
      <c r="G440" s="4">
        <f t="shared" si="34"/>
        <v>0.5</v>
      </c>
      <c r="H440" s="197">
        <f t="shared" si="35"/>
        <v>6.2500000000000001E-4</v>
      </c>
      <c r="I440" s="39">
        <f t="shared" si="36"/>
        <v>0.63</v>
      </c>
      <c r="J440" s="197">
        <f t="shared" si="37"/>
        <v>7.8750000000000001E-4</v>
      </c>
      <c r="K440" s="197">
        <v>0.04</v>
      </c>
      <c r="L440" s="4">
        <v>4.4999999999999998E-2</v>
      </c>
      <c r="M440" s="4"/>
    </row>
    <row r="444" spans="1:30" s="173" customFormat="1" ht="18.75" x14ac:dyDescent="0.3">
      <c r="A444" s="232" t="s">
        <v>291</v>
      </c>
      <c r="B444" s="232"/>
      <c r="C444" s="232"/>
      <c r="D444" s="232"/>
      <c r="E444" s="232"/>
      <c r="F444" s="232"/>
      <c r="Q444" s="232" t="s">
        <v>291</v>
      </c>
      <c r="R444" s="232"/>
      <c r="S444" s="232"/>
      <c r="T444" s="232"/>
      <c r="U444" s="232"/>
      <c r="V444" s="232"/>
    </row>
    <row r="446" spans="1:30" x14ac:dyDescent="0.25">
      <c r="E446" s="211" t="s">
        <v>206</v>
      </c>
      <c r="F446" s="179" t="s">
        <v>60</v>
      </c>
    </row>
    <row r="447" spans="1:30" x14ac:dyDescent="0.25">
      <c r="C447" s="191" t="s">
        <v>292</v>
      </c>
      <c r="E447" s="211" t="s">
        <v>50</v>
      </c>
      <c r="F447" s="179" t="s">
        <v>293</v>
      </c>
      <c r="AA447" s="233" t="s">
        <v>257</v>
      </c>
      <c r="AB447" s="234"/>
      <c r="AC447" s="235"/>
    </row>
    <row r="448" spans="1:30" x14ac:dyDescent="0.25">
      <c r="C448" s="193" t="str">
        <f>D17</f>
        <v>Normal Embossed</v>
      </c>
      <c r="H448" s="131"/>
      <c r="I448" s="236" t="s">
        <v>294</v>
      </c>
      <c r="J448" s="221"/>
      <c r="K448" s="236" t="s">
        <v>295</v>
      </c>
      <c r="AB448" s="4">
        <f>C93</f>
        <v>0</v>
      </c>
      <c r="AC448" s="4">
        <f>D93</f>
        <v>0</v>
      </c>
      <c r="AD448" s="4">
        <f>E93</f>
        <v>0</v>
      </c>
    </row>
    <row r="449" spans="1:33" x14ac:dyDescent="0.25">
      <c r="A449" s="1" t="s">
        <v>248</v>
      </c>
      <c r="C449" s="234" t="s">
        <v>262</v>
      </c>
      <c r="D449" s="235"/>
      <c r="E449" s="16" t="s">
        <v>296</v>
      </c>
      <c r="F449" s="17"/>
      <c r="G449" s="195"/>
      <c r="H449" s="6"/>
      <c r="I449" s="237"/>
      <c r="J449" s="219"/>
      <c r="K449" s="237"/>
      <c r="AB449" s="233" t="s">
        <v>263</v>
      </c>
      <c r="AC449" s="234"/>
      <c r="AD449" s="235"/>
    </row>
    <row r="450" spans="1:33" ht="135" x14ac:dyDescent="0.25">
      <c r="A450" s="7" t="s">
        <v>252</v>
      </c>
      <c r="B450" s="7" t="s">
        <v>253</v>
      </c>
      <c r="C450" s="7" t="s">
        <v>1</v>
      </c>
      <c r="D450" s="7" t="s">
        <v>4</v>
      </c>
      <c r="E450" s="7" t="s">
        <v>1</v>
      </c>
      <c r="F450" s="7" t="s">
        <v>4</v>
      </c>
      <c r="G450" s="93" t="s">
        <v>297</v>
      </c>
      <c r="H450" s="93" t="s">
        <v>298</v>
      </c>
      <c r="I450" s="238"/>
      <c r="J450" s="220"/>
      <c r="K450" s="238"/>
      <c r="O450" s="153" t="s">
        <v>299</v>
      </c>
      <c r="P450" s="93" t="s">
        <v>300</v>
      </c>
      <c r="Q450" s="93" t="s">
        <v>268</v>
      </c>
      <c r="R450" s="93" t="s">
        <v>301</v>
      </c>
      <c r="S450" s="93" t="s">
        <v>270</v>
      </c>
      <c r="T450" s="199" t="s">
        <v>271</v>
      </c>
      <c r="U450" s="18" t="s">
        <v>254</v>
      </c>
      <c r="V450" s="4" t="s">
        <v>255</v>
      </c>
      <c r="W450" s="4" t="s">
        <v>272</v>
      </c>
      <c r="X450" s="93" t="s">
        <v>273</v>
      </c>
      <c r="Y450" s="4" t="s">
        <v>274</v>
      </c>
      <c r="Z450" s="4" t="s">
        <v>275</v>
      </c>
      <c r="AB450" s="7" t="s">
        <v>8</v>
      </c>
      <c r="AC450" s="7" t="s">
        <v>9</v>
      </c>
      <c r="AD450" s="4" t="s">
        <v>276</v>
      </c>
      <c r="AE450" s="93" t="s">
        <v>277</v>
      </c>
      <c r="AF450" s="200" t="s">
        <v>274</v>
      </c>
      <c r="AG450" s="93" t="s">
        <v>278</v>
      </c>
    </row>
    <row r="451" spans="1:33" x14ac:dyDescent="0.25">
      <c r="A451" s="72">
        <v>100</v>
      </c>
      <c r="B451" s="72">
        <v>199</v>
      </c>
      <c r="C451" s="19">
        <f t="shared" ref="C451:C470" si="38">$C$18</f>
        <v>131</v>
      </c>
      <c r="D451" s="19">
        <f t="shared" ref="D451:D470" si="39">$D$18</f>
        <v>58</v>
      </c>
      <c r="E451" s="4">
        <f t="shared" ref="E451:E470" si="40">$C$451/10+1</f>
        <v>14.1</v>
      </c>
      <c r="F451" s="4">
        <f t="shared" ref="F451:F470" si="41">$D$451/10+1</f>
        <v>6.8</v>
      </c>
      <c r="G451" s="197">
        <f t="shared" ref="G451:G470" si="42">$E$451*$F$451*0.35</f>
        <v>33.558</v>
      </c>
      <c r="H451" s="39">
        <f t="shared" ref="H451:H470" si="43">$E$451*$F$451*5</f>
        <v>479.4</v>
      </c>
      <c r="I451" s="197">
        <v>0.6</v>
      </c>
      <c r="J451" s="197"/>
      <c r="K451" s="4">
        <v>80</v>
      </c>
      <c r="M451" s="183" t="s">
        <v>10</v>
      </c>
      <c r="N451" s="212">
        <f>I7</f>
        <v>1000</v>
      </c>
      <c r="O451" s="202">
        <f>INDEX(I451:I470,MATCH(N451,A451:A470,1))*N451</f>
        <v>140</v>
      </c>
      <c r="P451" s="202">
        <f>INDEX(K451:K470,MATCH(N451,A451:A470,1))</f>
        <v>150</v>
      </c>
      <c r="Q451" s="134">
        <f>MIN(O451:P451)</f>
        <v>140</v>
      </c>
      <c r="R451" s="14">
        <f>IF(E16="No",0,IF(D17="Normal Embossed",G451+Q451,IF(D17="3D Embossed",H451+Q451,"")))</f>
        <v>0</v>
      </c>
      <c r="S451" s="4">
        <f>Z451</f>
        <v>0</v>
      </c>
      <c r="T451" s="204" t="e">
        <f>R451+S451+S458+S465+$AI$395</f>
        <v>#VALUE!</v>
      </c>
      <c r="U451" s="18" t="str">
        <f>D418</f>
        <v>Green</v>
      </c>
      <c r="V451" s="4">
        <f>E418</f>
        <v>0</v>
      </c>
      <c r="W451" s="4" t="e">
        <f>U451*V451/100</f>
        <v>#VALUE!</v>
      </c>
      <c r="X451" s="4" t="e">
        <f>W451*0.25*2</f>
        <v>#VALUE!</v>
      </c>
      <c r="Y451" s="4">
        <v>30</v>
      </c>
      <c r="Z451" s="4">
        <f>IF(OR(U451=0,V451=0),0,IF(X451&lt;30,MAX(30,Y451),X451))</f>
        <v>0</v>
      </c>
      <c r="AB451" s="4" t="str">
        <f>F96</f>
        <v>1X</v>
      </c>
      <c r="AC451" s="4" t="str">
        <f>G96</f>
        <v>1Y</v>
      </c>
      <c r="AD451" s="4" t="e">
        <f>AB451*AC451*1550</f>
        <v>#VALUE!</v>
      </c>
      <c r="AE451" s="4" t="e">
        <f>AD451*0.08</f>
        <v>#VALUE!</v>
      </c>
      <c r="AF451" s="4">
        <v>30</v>
      </c>
      <c r="AG451" s="2" t="e">
        <f>IF(E77="No",0,IF(AE451&lt;30,MAX(30,AF451),AE451))</f>
        <v>#VALUE!</v>
      </c>
    </row>
    <row r="452" spans="1:33" x14ac:dyDescent="0.25">
      <c r="A452" s="72">
        <v>200</v>
      </c>
      <c r="B452" s="72">
        <v>299</v>
      </c>
      <c r="C452" s="4">
        <f t="shared" si="38"/>
        <v>131</v>
      </c>
      <c r="D452" s="4">
        <f t="shared" si="39"/>
        <v>58</v>
      </c>
      <c r="E452" s="4">
        <f t="shared" si="40"/>
        <v>14.1</v>
      </c>
      <c r="F452" s="4">
        <f t="shared" si="41"/>
        <v>6.8</v>
      </c>
      <c r="G452" s="197">
        <f t="shared" si="42"/>
        <v>33.558</v>
      </c>
      <c r="H452" s="39">
        <f t="shared" si="43"/>
        <v>479.4</v>
      </c>
      <c r="I452" s="197">
        <v>0.36</v>
      </c>
      <c r="J452" s="197"/>
      <c r="K452" s="4">
        <v>80</v>
      </c>
      <c r="M452" s="188" t="s">
        <v>11</v>
      </c>
      <c r="N452" s="212">
        <f>J7</f>
        <v>2000</v>
      </c>
      <c r="O452" s="202">
        <f>INDEX(I452:I471,MATCH(N452,A452:A471,1))*N452</f>
        <v>160</v>
      </c>
      <c r="P452" s="202">
        <f>INDEX(K452:K471,MATCH(N452,A452:A471,1))</f>
        <v>180</v>
      </c>
      <c r="Q452" s="134">
        <f>MIN(O452:P452)</f>
        <v>160</v>
      </c>
      <c r="R452" s="14">
        <f>IF(E16="No",0,IF(D17="Normal Embossed",G452+Q452,IF(D17="3D Embossed",H452+Q452,"")))</f>
        <v>0</v>
      </c>
      <c r="S452" s="4">
        <f>S451</f>
        <v>0</v>
      </c>
      <c r="T452" s="204" t="e">
        <f>R452+S452+S459+S466+$AI$395</f>
        <v>#VALUE!</v>
      </c>
      <c r="AB452" s="16" t="s">
        <v>279</v>
      </c>
      <c r="AC452" s="17"/>
      <c r="AD452" s="17"/>
      <c r="AE452" s="17"/>
      <c r="AF452" s="17"/>
      <c r="AG452" s="18"/>
    </row>
    <row r="453" spans="1:33" x14ac:dyDescent="0.25">
      <c r="A453" s="72">
        <v>300</v>
      </c>
      <c r="B453" s="72">
        <v>399</v>
      </c>
      <c r="C453" s="4">
        <f t="shared" si="38"/>
        <v>131</v>
      </c>
      <c r="D453" s="4">
        <f t="shared" si="39"/>
        <v>58</v>
      </c>
      <c r="E453" s="4">
        <f t="shared" si="40"/>
        <v>14.1</v>
      </c>
      <c r="F453" s="4">
        <f t="shared" si="41"/>
        <v>6.8</v>
      </c>
      <c r="G453" s="197">
        <f t="shared" si="42"/>
        <v>33.558</v>
      </c>
      <c r="H453" s="39">
        <f t="shared" si="43"/>
        <v>479.4</v>
      </c>
      <c r="I453" s="197">
        <v>0.28000000000000003</v>
      </c>
      <c r="J453" s="197"/>
      <c r="K453" s="4">
        <v>80</v>
      </c>
      <c r="M453" s="188" t="s">
        <v>12</v>
      </c>
      <c r="N453" s="212">
        <f>K7</f>
        <v>3000</v>
      </c>
      <c r="O453" s="202">
        <f>INDEX(I453:I472,MATCH(N453,A453:A472,1))*N453</f>
        <v>210.00000000000003</v>
      </c>
      <c r="P453" s="202">
        <f>INDEX(K453:K472,MATCH(N453,A453:A472,1))</f>
        <v>280</v>
      </c>
      <c r="Q453" s="134">
        <f>MIN(O453:P453)</f>
        <v>210.00000000000003</v>
      </c>
      <c r="R453" s="14">
        <f>IF(E16="No",0,IF(D17="Normal Embossed",G453+Q453,IF(D17="3D Embossed",H453+Q453,"")))</f>
        <v>0</v>
      </c>
      <c r="S453" s="4">
        <f>S451</f>
        <v>0</v>
      </c>
      <c r="T453" s="204" t="e">
        <f>R453+S453+S460+S467+$AI$395</f>
        <v>#VALUE!</v>
      </c>
    </row>
    <row r="454" spans="1:33" x14ac:dyDescent="0.25">
      <c r="A454" s="72">
        <v>400</v>
      </c>
      <c r="B454" s="72">
        <v>499</v>
      </c>
      <c r="C454" s="4">
        <f t="shared" si="38"/>
        <v>131</v>
      </c>
      <c r="D454" s="4">
        <f t="shared" si="39"/>
        <v>58</v>
      </c>
      <c r="E454" s="4">
        <f t="shared" si="40"/>
        <v>14.1</v>
      </c>
      <c r="F454" s="4">
        <f t="shared" si="41"/>
        <v>6.8</v>
      </c>
      <c r="G454" s="197">
        <f t="shared" si="42"/>
        <v>33.558</v>
      </c>
      <c r="H454" s="39">
        <f t="shared" si="43"/>
        <v>479.4</v>
      </c>
      <c r="I454" s="197">
        <v>0.25</v>
      </c>
      <c r="J454" s="197"/>
      <c r="K454" s="4">
        <v>80</v>
      </c>
      <c r="M454" s="188" t="s">
        <v>13</v>
      </c>
      <c r="N454" s="212">
        <f>L7</f>
        <v>4000</v>
      </c>
      <c r="O454" s="202">
        <f>INDEX(I454:I473,MATCH(N454,A454:A473,1))*N454</f>
        <v>280</v>
      </c>
      <c r="P454" s="202">
        <f>INDEX(K454:K473,MATCH(N454,A454:A473,1))</f>
        <v>280</v>
      </c>
      <c r="Q454" s="134">
        <f>MIN(O454:P454)</f>
        <v>280</v>
      </c>
      <c r="R454" s="14">
        <f>IF(E16="No",0,IF(D17="Normal Embossed",G454+Q454,IF(D17="3D Embossed",H454+Q454,"")))</f>
        <v>0</v>
      </c>
      <c r="S454" s="4">
        <f>S451</f>
        <v>0</v>
      </c>
      <c r="T454" s="204" t="e">
        <f>R454+S454+S461+S468+$AI$395</f>
        <v>#VALUE!</v>
      </c>
    </row>
    <row r="455" spans="1:33" x14ac:dyDescent="0.25">
      <c r="A455" s="72">
        <v>500</v>
      </c>
      <c r="B455" s="72">
        <v>999</v>
      </c>
      <c r="C455" s="4">
        <f t="shared" si="38"/>
        <v>131</v>
      </c>
      <c r="D455" s="4">
        <f t="shared" si="39"/>
        <v>58</v>
      </c>
      <c r="E455" s="4">
        <f t="shared" si="40"/>
        <v>14.1</v>
      </c>
      <c r="F455" s="4">
        <f t="shared" si="41"/>
        <v>6.8</v>
      </c>
      <c r="G455" s="197">
        <f t="shared" si="42"/>
        <v>33.558</v>
      </c>
      <c r="H455" s="39">
        <f t="shared" si="43"/>
        <v>479.4</v>
      </c>
      <c r="I455" s="197">
        <f>80/A455</f>
        <v>0.16</v>
      </c>
      <c r="J455" s="197"/>
      <c r="K455" s="4">
        <v>80</v>
      </c>
    </row>
    <row r="456" spans="1:33" x14ac:dyDescent="0.25">
      <c r="A456" s="72">
        <v>1000</v>
      </c>
      <c r="B456" s="72">
        <v>1999</v>
      </c>
      <c r="C456" s="4">
        <f t="shared" si="38"/>
        <v>131</v>
      </c>
      <c r="D456" s="4">
        <f t="shared" si="39"/>
        <v>58</v>
      </c>
      <c r="E456" s="4">
        <f t="shared" si="40"/>
        <v>14.1</v>
      </c>
      <c r="F456" s="4">
        <f t="shared" si="41"/>
        <v>6.8</v>
      </c>
      <c r="G456" s="197">
        <f t="shared" si="42"/>
        <v>33.558</v>
      </c>
      <c r="H456" s="39">
        <f t="shared" si="43"/>
        <v>479.4</v>
      </c>
      <c r="I456" s="197">
        <v>0.14000000000000001</v>
      </c>
      <c r="J456" s="197"/>
      <c r="K456" s="4">
        <v>150</v>
      </c>
    </row>
    <row r="457" spans="1:33" ht="39.6" customHeight="1" x14ac:dyDescent="0.25">
      <c r="A457" s="72">
        <v>2000</v>
      </c>
      <c r="B457" s="72">
        <v>2999</v>
      </c>
      <c r="C457" s="4">
        <f t="shared" si="38"/>
        <v>131</v>
      </c>
      <c r="D457" s="4">
        <f t="shared" si="39"/>
        <v>58</v>
      </c>
      <c r="E457" s="4">
        <f t="shared" si="40"/>
        <v>14.1</v>
      </c>
      <c r="F457" s="4">
        <f t="shared" si="41"/>
        <v>6.8</v>
      </c>
      <c r="G457" s="197">
        <f t="shared" si="42"/>
        <v>33.558</v>
      </c>
      <c r="H457" s="39">
        <f t="shared" si="43"/>
        <v>479.4</v>
      </c>
      <c r="I457" s="197">
        <v>0.08</v>
      </c>
      <c r="J457" s="197"/>
      <c r="K457" s="4">
        <v>180</v>
      </c>
      <c r="O457" s="153" t="s">
        <v>280</v>
      </c>
      <c r="P457" s="205" t="s">
        <v>281</v>
      </c>
      <c r="Q457" s="88" t="s">
        <v>282</v>
      </c>
      <c r="R457" s="4"/>
      <c r="S457" s="93" t="s">
        <v>283</v>
      </c>
      <c r="U457" s="4" t="s">
        <v>264</v>
      </c>
      <c r="V457" s="4" t="s">
        <v>265</v>
      </c>
      <c r="W457" s="4" t="s">
        <v>272</v>
      </c>
      <c r="X457" s="93" t="s">
        <v>273</v>
      </c>
      <c r="Y457" s="4" t="s">
        <v>274</v>
      </c>
      <c r="Z457" s="4" t="s">
        <v>275</v>
      </c>
    </row>
    <row r="458" spans="1:33" x14ac:dyDescent="0.25">
      <c r="A458" s="198">
        <v>3000</v>
      </c>
      <c r="B458" s="198">
        <v>4999</v>
      </c>
      <c r="C458" s="10">
        <f t="shared" si="38"/>
        <v>131</v>
      </c>
      <c r="D458" s="10">
        <f t="shared" si="39"/>
        <v>58</v>
      </c>
      <c r="E458" s="10">
        <f t="shared" si="40"/>
        <v>14.1</v>
      </c>
      <c r="F458" s="10">
        <f t="shared" si="41"/>
        <v>6.8</v>
      </c>
      <c r="G458" s="11">
        <f t="shared" si="42"/>
        <v>33.558</v>
      </c>
      <c r="H458" s="10">
        <f t="shared" si="43"/>
        <v>479.4</v>
      </c>
      <c r="I458" s="197">
        <v>7.0000000000000007E-2</v>
      </c>
      <c r="J458" s="197"/>
      <c r="K458" s="4">
        <v>280</v>
      </c>
      <c r="M458" s="183" t="s">
        <v>10</v>
      </c>
      <c r="N458" s="184">
        <f>N451</f>
        <v>1000</v>
      </c>
      <c r="O458" s="207">
        <f>N458*INDEX($J$395:$J$414,MATCH(N458,$A$395:$A$414,1))</f>
        <v>1.875</v>
      </c>
      <c r="P458" s="207">
        <f>N458*INDEX($K$395:$K$414,MATCH(N458,$A$395:$A$414),1)</f>
        <v>120</v>
      </c>
      <c r="Q458" s="208">
        <f>IF(AND($D$363=0,$E$363=0),0,IF(AND($D$363&gt;0, $E$363&gt;0),MAX(O458,N458*INDEX($K$395:$K$414,MATCH(N458,$A$395:$A$414))),""))</f>
        <v>0</v>
      </c>
      <c r="S458" s="4">
        <f>Z458</f>
        <v>0</v>
      </c>
      <c r="U458" s="4" t="str">
        <f>D419</f>
        <v>Size in mm</v>
      </c>
      <c r="V458" s="4">
        <f>E419</f>
        <v>0</v>
      </c>
      <c r="W458" s="4" t="e">
        <f>U458*V458/100</f>
        <v>#VALUE!</v>
      </c>
      <c r="X458" s="4" t="e">
        <f>W458*0.25*2</f>
        <v>#VALUE!</v>
      </c>
      <c r="Y458" s="4">
        <v>30</v>
      </c>
      <c r="Z458" s="4">
        <f>IF(OR(U458=0,V458=0),0,IF(X458&lt;30,MAX(30,Y458),X458))</f>
        <v>0</v>
      </c>
    </row>
    <row r="459" spans="1:33" x14ac:dyDescent="0.25">
      <c r="A459" s="72">
        <v>5000</v>
      </c>
      <c r="B459" s="72">
        <v>6999</v>
      </c>
      <c r="C459" s="4">
        <f t="shared" si="38"/>
        <v>131</v>
      </c>
      <c r="D459" s="4">
        <f t="shared" si="39"/>
        <v>58</v>
      </c>
      <c r="E459" s="4">
        <f t="shared" si="40"/>
        <v>14.1</v>
      </c>
      <c r="F459" s="4">
        <f t="shared" si="41"/>
        <v>6.8</v>
      </c>
      <c r="G459" s="197">
        <f t="shared" si="42"/>
        <v>33.558</v>
      </c>
      <c r="H459" s="39">
        <f t="shared" si="43"/>
        <v>479.4</v>
      </c>
      <c r="I459" s="197">
        <v>0.06</v>
      </c>
      <c r="J459" s="197"/>
      <c r="K459" s="4">
        <v>350</v>
      </c>
      <c r="M459" s="188" t="s">
        <v>11</v>
      </c>
      <c r="N459" s="184">
        <f>N452</f>
        <v>2000</v>
      </c>
      <c r="O459" s="185">
        <f>N459*INDEX($J$395:$J$414,MATCH(N459,$A$395:$A$414,1))</f>
        <v>3.2500000000000004</v>
      </c>
      <c r="P459" s="185">
        <f>N459*INDEX($K$395:$K$414,MATCH(N459,$A$395:$A$414),1)</f>
        <v>120</v>
      </c>
      <c r="Q459" s="209">
        <f>IF(AND($D$363=0,$E$363=0),0,IF(AND($D$363&gt;0, $E$363&gt;0),MAX(O459,N459*INDEX($K$395:$K$414,MATCH(N459,$A$395:$A$414))),""))</f>
        <v>0</v>
      </c>
      <c r="S459" s="4">
        <f>S458</f>
        <v>0</v>
      </c>
    </row>
    <row r="460" spans="1:33" x14ac:dyDescent="0.25">
      <c r="A460" s="72">
        <v>7000</v>
      </c>
      <c r="B460" s="72">
        <v>9999</v>
      </c>
      <c r="C460" s="4">
        <f t="shared" si="38"/>
        <v>131</v>
      </c>
      <c r="D460" s="4">
        <f t="shared" si="39"/>
        <v>58</v>
      </c>
      <c r="E460" s="4">
        <f t="shared" si="40"/>
        <v>14.1</v>
      </c>
      <c r="F460" s="4">
        <f t="shared" si="41"/>
        <v>6.8</v>
      </c>
      <c r="G460" s="197">
        <f t="shared" si="42"/>
        <v>33.558</v>
      </c>
      <c r="H460" s="39">
        <f t="shared" si="43"/>
        <v>479.4</v>
      </c>
      <c r="I460" s="197">
        <v>5.6000000000000001E-2</v>
      </c>
      <c r="J460" s="197"/>
      <c r="K460" s="4">
        <v>480</v>
      </c>
      <c r="M460" s="188" t="s">
        <v>12</v>
      </c>
      <c r="N460" s="184">
        <f>N453</f>
        <v>3000</v>
      </c>
      <c r="O460" s="185">
        <f>N460*INDEX($J$395:$J$414,MATCH(N460,$A$395:$A$414,1))</f>
        <v>3.75</v>
      </c>
      <c r="P460" s="185">
        <f>N460*INDEX($K$395:$K$414,MATCH(N460,$A$395:$A$414),1)</f>
        <v>120</v>
      </c>
      <c r="Q460" s="209">
        <f>IF(AND($D$363=0,$E$363=0),0,IF(AND($D$363&gt;0, $E$363&gt;0),MAX(O460,N460*INDEX($K$395:$K$414,MATCH(N460,$A$395:$A$414))),""))</f>
        <v>0</v>
      </c>
      <c r="S460" s="4">
        <f>S458</f>
        <v>0</v>
      </c>
    </row>
    <row r="461" spans="1:33" x14ac:dyDescent="0.25">
      <c r="A461" s="72">
        <v>10000</v>
      </c>
      <c r="B461" s="72">
        <v>14999</v>
      </c>
      <c r="C461" s="4">
        <f t="shared" si="38"/>
        <v>131</v>
      </c>
      <c r="D461" s="4">
        <f t="shared" si="39"/>
        <v>58</v>
      </c>
      <c r="E461" s="4">
        <f t="shared" si="40"/>
        <v>14.1</v>
      </c>
      <c r="F461" s="4">
        <f t="shared" si="41"/>
        <v>6.8</v>
      </c>
      <c r="G461" s="197">
        <f t="shared" si="42"/>
        <v>33.558</v>
      </c>
      <c r="H461" s="39">
        <f t="shared" si="43"/>
        <v>479.4</v>
      </c>
      <c r="I461" s="197">
        <v>5.6000000000000001E-2</v>
      </c>
      <c r="J461" s="197"/>
      <c r="K461" s="4">
        <v>700</v>
      </c>
      <c r="M461" s="188" t="s">
        <v>13</v>
      </c>
      <c r="N461" s="184">
        <f>N454</f>
        <v>4000</v>
      </c>
      <c r="O461" s="185">
        <f>N461*INDEX($J$395:$J$414,MATCH(N461,$A$395:$A$414,1))</f>
        <v>5</v>
      </c>
      <c r="P461" s="185">
        <f>N461*INDEX($K$395:$K$414,MATCH(N461,$A$395:$A$414),1)</f>
        <v>160</v>
      </c>
      <c r="Q461" s="209">
        <f>IF(AND($D$363=0,$E$363=0),0,IF(AND($D$363&gt;0, $E$363&gt;0),MAX(O461,N461*INDEX($K$395:$K$414,MATCH(N461,$A$395:$A$414))),""))</f>
        <v>0</v>
      </c>
      <c r="S461" s="4">
        <f>S458</f>
        <v>0</v>
      </c>
    </row>
    <row r="462" spans="1:33" x14ac:dyDescent="0.25">
      <c r="A462" s="72">
        <v>15000</v>
      </c>
      <c r="B462" s="72">
        <v>19999</v>
      </c>
      <c r="C462" s="4">
        <f t="shared" si="38"/>
        <v>131</v>
      </c>
      <c r="D462" s="4">
        <f t="shared" si="39"/>
        <v>58</v>
      </c>
      <c r="E462" s="4">
        <f t="shared" si="40"/>
        <v>14.1</v>
      </c>
      <c r="F462" s="4">
        <f t="shared" si="41"/>
        <v>6.8</v>
      </c>
      <c r="G462" s="197">
        <f t="shared" si="42"/>
        <v>33.558</v>
      </c>
      <c r="H462" s="39">
        <f t="shared" si="43"/>
        <v>479.4</v>
      </c>
      <c r="I462" s="197">
        <v>5.1999999999999998E-2</v>
      </c>
      <c r="J462" s="197"/>
      <c r="K462" s="4">
        <v>900</v>
      </c>
    </row>
    <row r="463" spans="1:33" x14ac:dyDescent="0.25">
      <c r="A463" s="72">
        <v>20000</v>
      </c>
      <c r="B463" s="72">
        <v>29999</v>
      </c>
      <c r="C463" s="4">
        <f t="shared" si="38"/>
        <v>131</v>
      </c>
      <c r="D463" s="4">
        <f t="shared" si="39"/>
        <v>58</v>
      </c>
      <c r="E463" s="4">
        <f t="shared" si="40"/>
        <v>14.1</v>
      </c>
      <c r="F463" s="4">
        <f t="shared" si="41"/>
        <v>6.8</v>
      </c>
      <c r="G463" s="197">
        <f t="shared" si="42"/>
        <v>33.558</v>
      </c>
      <c r="H463" s="39">
        <f t="shared" si="43"/>
        <v>479.4</v>
      </c>
      <c r="I463" s="197">
        <v>0.05</v>
      </c>
      <c r="J463" s="197"/>
      <c r="K463" s="4">
        <v>1350</v>
      </c>
    </row>
    <row r="464" spans="1:33" ht="39.6" customHeight="1" x14ac:dyDescent="0.25">
      <c r="A464" s="72">
        <v>30000</v>
      </c>
      <c r="B464" s="72">
        <v>49999</v>
      </c>
      <c r="C464" s="4">
        <f t="shared" si="38"/>
        <v>131</v>
      </c>
      <c r="D464" s="4">
        <f t="shared" si="39"/>
        <v>58</v>
      </c>
      <c r="E464" s="4">
        <f t="shared" si="40"/>
        <v>14.1</v>
      </c>
      <c r="F464" s="4">
        <f t="shared" si="41"/>
        <v>6.8</v>
      </c>
      <c r="G464" s="197">
        <f t="shared" si="42"/>
        <v>33.558</v>
      </c>
      <c r="H464" s="39">
        <f t="shared" si="43"/>
        <v>479.4</v>
      </c>
      <c r="I464" s="197">
        <v>4.9000000000000002E-2</v>
      </c>
      <c r="J464" s="197"/>
      <c r="K464" s="4">
        <v>2000</v>
      </c>
      <c r="O464" s="153" t="s">
        <v>284</v>
      </c>
      <c r="P464" s="4" t="s">
        <v>285</v>
      </c>
      <c r="Q464" s="205" t="s">
        <v>286</v>
      </c>
      <c r="R464" s="4"/>
      <c r="S464" s="93" t="s">
        <v>287</v>
      </c>
      <c r="U464" s="4" t="s">
        <v>288</v>
      </c>
      <c r="V464" s="4" t="s">
        <v>289</v>
      </c>
      <c r="W464" s="4" t="s">
        <v>272</v>
      </c>
      <c r="X464" s="93" t="s">
        <v>273</v>
      </c>
      <c r="Y464" s="4" t="s">
        <v>274</v>
      </c>
      <c r="Z464" s="4" t="s">
        <v>275</v>
      </c>
    </row>
    <row r="465" spans="1:26" x14ac:dyDescent="0.25">
      <c r="A465" s="72">
        <v>50000</v>
      </c>
      <c r="B465" s="72">
        <v>74999</v>
      </c>
      <c r="C465" s="4">
        <f t="shared" si="38"/>
        <v>131</v>
      </c>
      <c r="D465" s="4">
        <f t="shared" si="39"/>
        <v>58</v>
      </c>
      <c r="E465" s="4">
        <f t="shared" si="40"/>
        <v>14.1</v>
      </c>
      <c r="F465" s="4">
        <f t="shared" si="41"/>
        <v>6.8</v>
      </c>
      <c r="G465" s="197">
        <f t="shared" si="42"/>
        <v>33.558</v>
      </c>
      <c r="H465" s="39">
        <f t="shared" si="43"/>
        <v>479.4</v>
      </c>
      <c r="I465" s="197">
        <v>4.8000000000000001E-2</v>
      </c>
      <c r="J465" s="197"/>
      <c r="K465" s="4">
        <v>3000</v>
      </c>
      <c r="M465" s="183" t="s">
        <v>10</v>
      </c>
      <c r="N465" s="184">
        <f>N451</f>
        <v>1000</v>
      </c>
      <c r="O465" s="207">
        <f>N465*INDEX($J$421:$J$440,MATCH(N465,$A$421:$A$440,1))</f>
        <v>1.875</v>
      </c>
      <c r="P465" s="207">
        <f>N465*INDEX($K$421:$K$440,MATCH(N465,$A$421:$A$440,1))</f>
        <v>120</v>
      </c>
      <c r="Q465" s="210">
        <f>IF(AND($D$364=0,$E$364=0),0,IF(AND($D$364&gt;0, $E$364&gt;0),MAX(O465,N465*INDEX($K$421:$K$440,MATCH(N465,$A$421:$A$440))),""))</f>
        <v>0</v>
      </c>
      <c r="S465" s="4" t="e">
        <f>Z465</f>
        <v>#VALUE!</v>
      </c>
      <c r="U465" s="4" t="str">
        <f>D420</f>
        <v>H3</v>
      </c>
      <c r="V465" s="4" t="str">
        <f>E420</f>
        <v>W3</v>
      </c>
      <c r="W465" s="4" t="e">
        <f>U465*V465/100</f>
        <v>#VALUE!</v>
      </c>
      <c r="X465" s="4" t="e">
        <f>W465*0.25*2</f>
        <v>#VALUE!</v>
      </c>
      <c r="Y465" s="4">
        <v>30</v>
      </c>
      <c r="Z465" s="4" t="e">
        <f>IF(OR(U465=0,V465=0),0,IF(X465&lt;30,MAX(30,Y465),X465))</f>
        <v>#VALUE!</v>
      </c>
    </row>
    <row r="466" spans="1:26" x14ac:dyDescent="0.25">
      <c r="A466" s="72">
        <v>75000</v>
      </c>
      <c r="B466" s="72">
        <v>99999</v>
      </c>
      <c r="C466" s="4">
        <f t="shared" si="38"/>
        <v>131</v>
      </c>
      <c r="D466" s="4">
        <f t="shared" si="39"/>
        <v>58</v>
      </c>
      <c r="E466" s="4">
        <f t="shared" si="40"/>
        <v>14.1</v>
      </c>
      <c r="F466" s="4">
        <f t="shared" si="41"/>
        <v>6.8</v>
      </c>
      <c r="G466" s="197">
        <f t="shared" si="42"/>
        <v>33.558</v>
      </c>
      <c r="H466" s="39">
        <f t="shared" si="43"/>
        <v>479.4</v>
      </c>
      <c r="I466" s="197">
        <v>0.04</v>
      </c>
      <c r="J466" s="197"/>
      <c r="K466" s="4">
        <v>4000</v>
      </c>
      <c r="M466" s="188" t="s">
        <v>11</v>
      </c>
      <c r="N466" s="184">
        <f>N452</f>
        <v>2000</v>
      </c>
      <c r="O466" s="185">
        <f>N466*INDEX($J$421:$J$440,MATCH(N466,$A$421:$A$440,1))</f>
        <v>3.2500000000000004</v>
      </c>
      <c r="P466" s="185">
        <f>N466*INDEX($K$421:$K$440,MATCH(N466,$A$421:$A$440,1))</f>
        <v>120</v>
      </c>
      <c r="Q466" s="209">
        <f>IF(AND($D$364=0,$E$364=0),0,IF(AND($D$364&gt;0, $E$364&gt;0),MAX(O466,N466*INDEX($K$421:$K$440,MATCH(N466,$A$421:$A$440))),""))</f>
        <v>0</v>
      </c>
      <c r="S466" s="4" t="e">
        <f>S465</f>
        <v>#VALUE!</v>
      </c>
    </row>
    <row r="467" spans="1:26" x14ac:dyDescent="0.25">
      <c r="A467" s="72">
        <v>100000</v>
      </c>
      <c r="B467" s="72">
        <v>149999</v>
      </c>
      <c r="C467" s="4">
        <f t="shared" si="38"/>
        <v>131</v>
      </c>
      <c r="D467" s="4">
        <f t="shared" si="39"/>
        <v>58</v>
      </c>
      <c r="E467" s="4">
        <f t="shared" si="40"/>
        <v>14.1</v>
      </c>
      <c r="F467" s="4">
        <f t="shared" si="41"/>
        <v>6.8</v>
      </c>
      <c r="G467" s="197">
        <f t="shared" si="42"/>
        <v>33.558</v>
      </c>
      <c r="H467" s="39">
        <f t="shared" si="43"/>
        <v>479.4</v>
      </c>
      <c r="I467" s="197">
        <v>0.04</v>
      </c>
      <c r="J467" s="197"/>
      <c r="K467" s="4">
        <v>5700</v>
      </c>
      <c r="M467" s="188" t="s">
        <v>12</v>
      </c>
      <c r="N467" s="184">
        <f>N453</f>
        <v>3000</v>
      </c>
      <c r="O467" s="185">
        <f>N467*INDEX($J$421:$J$440,MATCH(N467,$A$421:$A$440,1))</f>
        <v>3.75</v>
      </c>
      <c r="P467" s="185">
        <f>N467*INDEX($K$421:$K$440,MATCH(N467,$A$421:$A$440,1))</f>
        <v>120</v>
      </c>
      <c r="Q467" s="209">
        <f>IF(AND($D$364=0,$E$364=0),0,IF(AND($D$364&gt;0, $E$364&gt;0),MAX(O467,N467*INDEX($K$421:$K$440,MATCH(N467,$A$421:$A$440))),""))</f>
        <v>0</v>
      </c>
      <c r="S467" s="4" t="e">
        <f>S465</f>
        <v>#VALUE!</v>
      </c>
    </row>
    <row r="468" spans="1:26" x14ac:dyDescent="0.25">
      <c r="A468" s="72">
        <v>150000</v>
      </c>
      <c r="B468" s="72">
        <v>199999</v>
      </c>
      <c r="C468" s="4">
        <f t="shared" si="38"/>
        <v>131</v>
      </c>
      <c r="D468" s="4">
        <f t="shared" si="39"/>
        <v>58</v>
      </c>
      <c r="E468" s="4">
        <f t="shared" si="40"/>
        <v>14.1</v>
      </c>
      <c r="F468" s="4">
        <f t="shared" si="41"/>
        <v>6.8</v>
      </c>
      <c r="G468" s="197">
        <f t="shared" si="42"/>
        <v>33.558</v>
      </c>
      <c r="H468" s="39">
        <f t="shared" si="43"/>
        <v>479.4</v>
      </c>
      <c r="I468" s="197">
        <v>0.04</v>
      </c>
      <c r="J468" s="197"/>
      <c r="K468" s="4">
        <v>7200</v>
      </c>
      <c r="M468" s="188" t="s">
        <v>13</v>
      </c>
      <c r="N468" s="184">
        <f>N454</f>
        <v>4000</v>
      </c>
      <c r="O468" s="185">
        <f>N468*INDEX($J$421:$J$440,MATCH(N468,$A$421:$A$440,1))</f>
        <v>5</v>
      </c>
      <c r="P468" s="185">
        <f>N468*INDEX($K$421:$K$440,MATCH(N468,$A$421:$A$440,1))</f>
        <v>160</v>
      </c>
      <c r="Q468" s="209">
        <f>IF(AND($D$364=0,$E$364=0),0,IF(AND($D$364&gt;0, $E$364&gt;0),MAX(O468,N468*INDEX($K$421:$K$440,MATCH(N468,$A$421:$A$440))),""))</f>
        <v>0</v>
      </c>
      <c r="S468" s="4" t="e">
        <f>S465</f>
        <v>#VALUE!</v>
      </c>
    </row>
    <row r="469" spans="1:26" x14ac:dyDescent="0.25">
      <c r="A469" s="72">
        <v>200000</v>
      </c>
      <c r="B469" s="72">
        <v>399999</v>
      </c>
      <c r="C469" s="4">
        <f t="shared" si="38"/>
        <v>131</v>
      </c>
      <c r="D469" s="4">
        <f t="shared" si="39"/>
        <v>58</v>
      </c>
      <c r="E469" s="4">
        <f t="shared" si="40"/>
        <v>14.1</v>
      </c>
      <c r="F469" s="4">
        <f t="shared" si="41"/>
        <v>6.8</v>
      </c>
      <c r="G469" s="197">
        <f t="shared" si="42"/>
        <v>33.558</v>
      </c>
      <c r="H469" s="39">
        <f t="shared" si="43"/>
        <v>479.4</v>
      </c>
      <c r="I469" s="197">
        <v>0.04</v>
      </c>
      <c r="J469" s="197"/>
      <c r="K469" s="4">
        <v>13200</v>
      </c>
    </row>
    <row r="470" spans="1:26" x14ac:dyDescent="0.25">
      <c r="A470" s="72">
        <v>400000</v>
      </c>
      <c r="B470" s="72">
        <v>1000000</v>
      </c>
      <c r="C470" s="4">
        <f t="shared" si="38"/>
        <v>131</v>
      </c>
      <c r="D470" s="4">
        <f t="shared" si="39"/>
        <v>58</v>
      </c>
      <c r="E470" s="4">
        <f t="shared" si="40"/>
        <v>14.1</v>
      </c>
      <c r="F470" s="4">
        <f t="shared" si="41"/>
        <v>6.8</v>
      </c>
      <c r="G470" s="197">
        <f t="shared" si="42"/>
        <v>33.558</v>
      </c>
      <c r="H470" s="39">
        <f t="shared" si="43"/>
        <v>479.4</v>
      </c>
      <c r="I470" s="197">
        <v>0.04</v>
      </c>
      <c r="J470" s="197"/>
      <c r="K470" s="4">
        <v>30000</v>
      </c>
    </row>
    <row r="474" spans="1:26" s="80" customFormat="1" x14ac:dyDescent="0.25">
      <c r="A474" s="226" t="s">
        <v>302</v>
      </c>
      <c r="B474" s="226"/>
      <c r="C474" s="226"/>
      <c r="Q474" s="226" t="s">
        <v>302</v>
      </c>
      <c r="R474" s="226"/>
      <c r="S474" s="226"/>
    </row>
    <row r="475" spans="1:26" ht="18.75" x14ac:dyDescent="0.3">
      <c r="A475" s="24"/>
      <c r="B475" s="81" t="s">
        <v>303</v>
      </c>
      <c r="C475" s="81"/>
      <c r="D475" s="81"/>
      <c r="E475" s="81"/>
      <c r="F475" s="81"/>
      <c r="G475" s="81"/>
      <c r="H475" s="81"/>
      <c r="I475" s="24"/>
      <c r="J475" s="24"/>
      <c r="K475" s="24"/>
      <c r="L475" s="24"/>
      <c r="M475" s="24"/>
      <c r="N475" s="24"/>
      <c r="O475" s="24"/>
      <c r="P475" s="24"/>
      <c r="Q475" s="24"/>
    </row>
    <row r="476" spans="1:26" x14ac:dyDescent="0.25">
      <c r="E476" s="211" t="s">
        <v>206</v>
      </c>
      <c r="F476" s="179" t="s">
        <v>304</v>
      </c>
    </row>
    <row r="477" spans="1:26" x14ac:dyDescent="0.25">
      <c r="C477" s="191" t="s">
        <v>305</v>
      </c>
      <c r="E477" s="211" t="s">
        <v>50</v>
      </c>
      <c r="F477" s="179" t="s">
        <v>306</v>
      </c>
    </row>
    <row r="478" spans="1:26" ht="15.75" thickBot="1" x14ac:dyDescent="0.3">
      <c r="C478" s="193" t="str">
        <f>F476</f>
        <v>Normal Textured</v>
      </c>
    </row>
    <row r="479" spans="1:26" ht="15.75" thickBot="1" x14ac:dyDescent="0.3">
      <c r="B479" s="82" t="s">
        <v>0</v>
      </c>
      <c r="C479" s="83">
        <f>B8</f>
        <v>390</v>
      </c>
      <c r="D479" s="115">
        <f>C8</f>
        <v>150</v>
      </c>
      <c r="E479" s="83">
        <f>D8</f>
        <v>100</v>
      </c>
      <c r="F479" s="116">
        <f>C479+0.5*E479+23</f>
        <v>463</v>
      </c>
      <c r="G479" s="117">
        <v>113</v>
      </c>
      <c r="H479" s="126">
        <v>358.77499999999998</v>
      </c>
      <c r="I479" s="82"/>
    </row>
    <row r="480" spans="1:26" ht="30.75" thickBot="1" x14ac:dyDescent="0.3">
      <c r="B480" s="82"/>
      <c r="C480" s="82"/>
      <c r="D480" s="82"/>
      <c r="E480" s="82"/>
      <c r="F480" s="227" t="s">
        <v>85</v>
      </c>
      <c r="G480" s="228"/>
      <c r="H480" s="83" t="s">
        <v>307</v>
      </c>
      <c r="I480" s="86" t="s">
        <v>86</v>
      </c>
      <c r="J480" s="87" t="s">
        <v>87</v>
      </c>
      <c r="K480" s="4" t="s">
        <v>88</v>
      </c>
      <c r="L480" s="93" t="s">
        <v>308</v>
      </c>
      <c r="M480" s="93" t="s">
        <v>309</v>
      </c>
      <c r="N480" s="4" t="s">
        <v>310</v>
      </c>
      <c r="P480" s="4" t="s">
        <v>311</v>
      </c>
      <c r="Q480" s="4" t="s">
        <v>312</v>
      </c>
      <c r="R480" s="95" t="s">
        <v>313</v>
      </c>
      <c r="S480" s="93" t="s">
        <v>314</v>
      </c>
      <c r="T480" s="93" t="s">
        <v>315</v>
      </c>
      <c r="U480" s="213" t="s">
        <v>316</v>
      </c>
    </row>
    <row r="481" spans="2:21" x14ac:dyDescent="0.25">
      <c r="B481" s="82"/>
      <c r="C481" s="83" t="s">
        <v>5</v>
      </c>
      <c r="D481" s="83" t="s">
        <v>6</v>
      </c>
      <c r="E481" s="83" t="s">
        <v>7</v>
      </c>
      <c r="F481" s="83" t="s">
        <v>109</v>
      </c>
      <c r="G481" s="83" t="s">
        <v>110</v>
      </c>
      <c r="H481" s="142">
        <f>E398</f>
        <v>0</v>
      </c>
      <c r="I481" s="83"/>
      <c r="J481" s="85" t="s">
        <v>111</v>
      </c>
      <c r="L481" s="85"/>
      <c r="M481" s="85"/>
      <c r="N481" s="4"/>
    </row>
    <row r="482" spans="2:21" x14ac:dyDescent="0.25">
      <c r="B482" s="143" t="s">
        <v>0</v>
      </c>
      <c r="C482" s="100">
        <f>$C$37/1000</f>
        <v>0.39</v>
      </c>
      <c r="D482" s="100">
        <f>$D$37/1000</f>
        <v>0.15</v>
      </c>
      <c r="E482" s="100">
        <f>$E$37/1000</f>
        <v>0.1</v>
      </c>
      <c r="F482" s="101">
        <f>2*(D482+E482)+0.035</f>
        <v>0.53500000000000003</v>
      </c>
      <c r="G482" s="101">
        <f>C482+0.7*(E482)+0.055</f>
        <v>0.51500000000000001</v>
      </c>
      <c r="H482" s="144">
        <f>H481</f>
        <v>0</v>
      </c>
      <c r="I482" s="121">
        <f>I40</f>
        <v>1000</v>
      </c>
      <c r="J482" s="104" t="b">
        <f>AND(F482&gt;=0.533,F482&lt;=1.025,G482&gt;=0.318,G482&lt;=0.698)</f>
        <v>1</v>
      </c>
      <c r="K482" s="104">
        <f>IF(J482,1,0)</f>
        <v>1</v>
      </c>
      <c r="L482" s="69">
        <f>IF(J482=TRUE,I482/K482,0)</f>
        <v>1000</v>
      </c>
      <c r="M482" s="69">
        <f>IF(J482=FALSE, 0, IF(J482=TRUE, IF(L482&gt;=P482, IF(L482&lt;=Q482, R482, IF(L482&lt;=Q483, L482*$S$483*1, IF(L482&lt;=Q484, L482*$S$483*0.9, IF(L482&lt;=Q485, L482*$S$483*0.85, 0)))), 0), 0))</f>
        <v>100</v>
      </c>
      <c r="N482" s="13">
        <f>M482</f>
        <v>100</v>
      </c>
      <c r="P482" s="4">
        <v>100</v>
      </c>
      <c r="Q482" s="4">
        <v>1999</v>
      </c>
      <c r="R482" s="4">
        <v>100</v>
      </c>
      <c r="S482" s="4">
        <v>0.05</v>
      </c>
      <c r="T482" s="4">
        <v>1</v>
      </c>
      <c r="U482" s="59">
        <f>IF(E17="Yes",SUM(N482,N491,N500,N509)/MAX(1,SUM((N482&gt;0)+(N491&gt;0)+(N500&gt;0)+(N509&gt;0))),0)</f>
        <v>0</v>
      </c>
    </row>
    <row r="483" spans="2:21" x14ac:dyDescent="0.25">
      <c r="B483" s="82"/>
      <c r="C483" s="100">
        <f>$C$37/1000</f>
        <v>0.39</v>
      </c>
      <c r="D483" s="100">
        <f>$D$37/1000</f>
        <v>0.15</v>
      </c>
      <c r="E483" s="100">
        <f>$E$37/1000</f>
        <v>0.1</v>
      </c>
      <c r="F483" s="101">
        <f>2*(D483+E483)+0.035</f>
        <v>0.53500000000000003</v>
      </c>
      <c r="G483" s="101">
        <f>C483+0.7*(E483)+0.055</f>
        <v>0.51500000000000001</v>
      </c>
      <c r="H483" s="144">
        <f>H481</f>
        <v>0</v>
      </c>
      <c r="I483" s="121">
        <f>I41</f>
        <v>2000</v>
      </c>
      <c r="J483" s="104" t="b">
        <f>AND(F483&gt;=0.533,F483&lt;=1.025,G483&gt;=0.318,G483&lt;=0.698)</f>
        <v>1</v>
      </c>
      <c r="K483" s="104">
        <f>IF(J483,1,0)</f>
        <v>1</v>
      </c>
      <c r="L483" s="69">
        <f>IF(J483=TRUE,I483/K483,0)</f>
        <v>2000</v>
      </c>
      <c r="M483" s="69">
        <f>IF(J483=FALSE, 0, IF(J483=TRUE, IF(L483&gt;=P482, IF(L483&lt;=Q482, R482, IF(L483&lt;=Q483, L483*$S$483*1, IF(L483&lt;=Q484, L483*$S$483*0.9, IF(L483&lt;=Q485, L483*$S$483*0.85, 0)))), 0), 0))</f>
        <v>100</v>
      </c>
      <c r="N483" s="13">
        <f>M483</f>
        <v>100</v>
      </c>
      <c r="P483" s="4">
        <v>2000</v>
      </c>
      <c r="Q483" s="4">
        <v>9999</v>
      </c>
      <c r="R483" s="4"/>
      <c r="S483" s="4">
        <v>0.05</v>
      </c>
      <c r="T483" s="4">
        <v>1</v>
      </c>
      <c r="U483" s="59">
        <f>IF(E17="Yes",SUM(N483,N492,N501,N510)/MAX(1,SUM((N483&gt;0)+(N492&gt;0)+(N501&gt;0)+(N510&gt;0))),0)</f>
        <v>0</v>
      </c>
    </row>
    <row r="484" spans="2:21" x14ac:dyDescent="0.25">
      <c r="B484" s="82"/>
      <c r="C484" s="100">
        <f>$C$37/1000</f>
        <v>0.39</v>
      </c>
      <c r="D484" s="100">
        <f>$D$37/1000</f>
        <v>0.15</v>
      </c>
      <c r="E484" s="100">
        <f>$E$37/1000</f>
        <v>0.1</v>
      </c>
      <c r="F484" s="101">
        <f>2*(D484+E484)+0.035</f>
        <v>0.53500000000000003</v>
      </c>
      <c r="G484" s="101">
        <f>C484+0.7*(E484)+0.055</f>
        <v>0.51500000000000001</v>
      </c>
      <c r="H484" s="144">
        <f>H481</f>
        <v>0</v>
      </c>
      <c r="I484" s="121">
        <f>I42</f>
        <v>3000</v>
      </c>
      <c r="J484" s="104" t="b">
        <f>AND(F484&gt;=0.533,F484&lt;=1.025,G484&gt;=0.318,G484&lt;=0.698)</f>
        <v>1</v>
      </c>
      <c r="K484" s="104">
        <f>IF(J484,1,0)</f>
        <v>1</v>
      </c>
      <c r="L484" s="69">
        <f>IF(J484=TRUE,I484/K484,0)</f>
        <v>3000</v>
      </c>
      <c r="M484" s="69">
        <f>IF(J484=FALSE, 0, IF(J484=TRUE, IF(L484&gt;=P482, IF(L484&lt;=Q482, R482, IF(L484&lt;=Q483, L484*$S$483*1, IF(L484&lt;=Q484, L484*$S$483*0.9, IF(L484&lt;=Q485, L484*$S$483*0.85, 0)))), 0), 0))</f>
        <v>150</v>
      </c>
      <c r="N484" s="13">
        <f>M484</f>
        <v>150</v>
      </c>
      <c r="P484" s="4">
        <v>10000</v>
      </c>
      <c r="Q484" s="4">
        <v>49999</v>
      </c>
      <c r="R484" s="4"/>
      <c r="S484" s="4">
        <v>0.05</v>
      </c>
      <c r="T484" s="4">
        <v>0.9</v>
      </c>
      <c r="U484" s="59">
        <f>IF(E17="Yes",SUM(N484,N493,N502,N511)/MAX(1,SUM((N484&gt;0)+(N493&gt;0)+(N502&gt;0)+(N511&gt;0))),0)</f>
        <v>0</v>
      </c>
    </row>
    <row r="485" spans="2:21" x14ac:dyDescent="0.25">
      <c r="B485" s="82"/>
      <c r="C485" s="100">
        <f>$C$37/1000</f>
        <v>0.39</v>
      </c>
      <c r="D485" s="100">
        <f>$D$37/1000</f>
        <v>0.15</v>
      </c>
      <c r="E485" s="100">
        <f>$E$37/1000</f>
        <v>0.1</v>
      </c>
      <c r="F485" s="101">
        <f>2*(D485+E485)+0.035</f>
        <v>0.53500000000000003</v>
      </c>
      <c r="G485" s="101">
        <f>C485+0.7*(E485)+0.055</f>
        <v>0.51500000000000001</v>
      </c>
      <c r="H485" s="144">
        <f>H481</f>
        <v>0</v>
      </c>
      <c r="I485" s="121">
        <f>I43</f>
        <v>4000</v>
      </c>
      <c r="J485" s="104" t="b">
        <f>AND(F485&gt;=0.533,F485&lt;=1.025,G485&gt;=0.318,G485&lt;=0.698)</f>
        <v>1</v>
      </c>
      <c r="K485" s="104">
        <f>IF(J485,1,0)</f>
        <v>1</v>
      </c>
      <c r="L485" s="69">
        <f>IF(J485=TRUE,I485/K485,0)</f>
        <v>4000</v>
      </c>
      <c r="M485" s="69">
        <f>IF(J485=FALSE, 0, IF(J485=TRUE, IF(L485&gt;=P482, IF(L485&lt;=Q482, R482, IF(L485&lt;=Q483, L485*$S$483*1, IF(L485&lt;=Q484, L485*$S$483*0.9, IF(L485&lt;=Q485, L485*$S$483*0.85, 0)))), 0), 0))</f>
        <v>200</v>
      </c>
      <c r="N485" s="13">
        <f>M485</f>
        <v>200</v>
      </c>
      <c r="P485" s="4">
        <v>50000</v>
      </c>
      <c r="Q485" s="4">
        <v>2000000</v>
      </c>
      <c r="R485" s="4"/>
      <c r="S485" s="4">
        <v>0.05</v>
      </c>
      <c r="T485" s="4">
        <v>0.85</v>
      </c>
      <c r="U485" s="59">
        <f>IF(E17="Yes",SUM(N485,N494,N503,N512)/MAX(1,SUM((N485&gt;0)+(N494&gt;0)+(N503&gt;0)+(N512&gt;0))),0)</f>
        <v>0</v>
      </c>
    </row>
    <row r="486" spans="2:21" x14ac:dyDescent="0.25">
      <c r="P486" s="145"/>
    </row>
    <row r="487" spans="2:21" ht="15.75" thickBot="1" x14ac:dyDescent="0.3"/>
    <row r="488" spans="2:21" ht="15.75" thickBot="1" x14ac:dyDescent="0.3">
      <c r="B488" s="82" t="s">
        <v>0</v>
      </c>
      <c r="C488" s="83">
        <f>C479</f>
        <v>390</v>
      </c>
      <c r="D488" s="115">
        <f>D479</f>
        <v>150</v>
      </c>
      <c r="E488" s="83">
        <f>E479</f>
        <v>100</v>
      </c>
      <c r="F488" s="116">
        <f>C488+0.5*E488+23</f>
        <v>463</v>
      </c>
      <c r="G488" s="117">
        <v>113</v>
      </c>
      <c r="H488" s="118">
        <v>358.77499999999998</v>
      </c>
      <c r="I488" s="82"/>
    </row>
    <row r="489" spans="2:21" ht="30" x14ac:dyDescent="0.25">
      <c r="B489" s="82"/>
      <c r="C489" s="82"/>
      <c r="D489" s="82"/>
      <c r="E489" s="82"/>
      <c r="F489" s="229" t="s">
        <v>112</v>
      </c>
      <c r="G489" s="230"/>
      <c r="H489" s="83" t="s">
        <v>307</v>
      </c>
      <c r="I489" s="119" t="s">
        <v>86</v>
      </c>
      <c r="J489" s="4" t="s">
        <v>113</v>
      </c>
      <c r="K489" s="4"/>
      <c r="L489" s="93" t="s">
        <v>308</v>
      </c>
      <c r="M489" s="93"/>
      <c r="N489" s="4" t="s">
        <v>310</v>
      </c>
      <c r="P489" s="4" t="s">
        <v>311</v>
      </c>
      <c r="Q489" s="4" t="s">
        <v>312</v>
      </c>
      <c r="R489" s="95" t="s">
        <v>313</v>
      </c>
      <c r="S489" s="93" t="s">
        <v>314</v>
      </c>
      <c r="T489" s="93" t="s">
        <v>315</v>
      </c>
    </row>
    <row r="490" spans="2:21" x14ac:dyDescent="0.25">
      <c r="B490" s="82"/>
      <c r="C490" s="83" t="s">
        <v>5</v>
      </c>
      <c r="D490" s="83" t="s">
        <v>6</v>
      </c>
      <c r="E490" s="83" t="s">
        <v>7</v>
      </c>
      <c r="F490" s="83" t="s">
        <v>115</v>
      </c>
      <c r="G490" s="83" t="s">
        <v>116</v>
      </c>
      <c r="H490" s="4">
        <f>H481</f>
        <v>0</v>
      </c>
      <c r="I490" s="83"/>
      <c r="J490" s="85"/>
      <c r="K490" s="85"/>
      <c r="L490" s="85"/>
      <c r="M490" s="85"/>
      <c r="N490" s="4"/>
    </row>
    <row r="491" spans="2:21" x14ac:dyDescent="0.25">
      <c r="B491" s="143" t="s">
        <v>0</v>
      </c>
      <c r="C491" s="100">
        <f>$C$37/1000</f>
        <v>0.39</v>
      </c>
      <c r="D491" s="100">
        <f>$D$37/1000</f>
        <v>0.15</v>
      </c>
      <c r="E491" s="100">
        <f>$E$37/1000</f>
        <v>0.1</v>
      </c>
      <c r="F491" s="101">
        <f>1*(D491+E491)+0.035</f>
        <v>0.28500000000000003</v>
      </c>
      <c r="G491" s="101">
        <f>2*(C491+0.7*(E491)+0.055)</f>
        <v>1.03</v>
      </c>
      <c r="H491" s="146">
        <f>H481</f>
        <v>0</v>
      </c>
      <c r="I491" s="121">
        <f>I40</f>
        <v>1000</v>
      </c>
      <c r="J491" s="122" t="b">
        <f>AND(F491&gt;=0.318,F491&lt;=0.698,G491&gt;=0.533,G491&lt;=1.025)</f>
        <v>0</v>
      </c>
      <c r="K491" s="122">
        <f>IF(J491,1,0)</f>
        <v>0</v>
      </c>
      <c r="L491" s="69">
        <f>IF(J491=TRUE,I491/K491,0)</f>
        <v>0</v>
      </c>
      <c r="M491" s="69">
        <f>IF(J491=FALSE, 0, IF(J491=TRUE, IF(L491&gt;=P491, IF(L491&lt;=Q491, R491, IF(L491&lt;=Q492, L491*$S$483*1, IF(L491&lt;=Q493, L491*$S$483*0.9, IF(L491&lt;=Q494, L491*$S$483*0.85, 0)))), 0), 0))</f>
        <v>0</v>
      </c>
      <c r="N491" s="13">
        <f>M491</f>
        <v>0</v>
      </c>
      <c r="P491" s="4">
        <v>100</v>
      </c>
      <c r="Q491" s="4">
        <v>1999</v>
      </c>
      <c r="R491" s="4">
        <v>100</v>
      </c>
      <c r="S491" s="4">
        <v>0.05</v>
      </c>
      <c r="T491" s="4">
        <v>1</v>
      </c>
    </row>
    <row r="492" spans="2:21" x14ac:dyDescent="0.25">
      <c r="B492" s="82"/>
      <c r="C492" s="100">
        <f>$C$37/1000</f>
        <v>0.39</v>
      </c>
      <c r="D492" s="100">
        <f>$D$37/1000</f>
        <v>0.15</v>
      </c>
      <c r="E492" s="100">
        <f>$E$37/1000</f>
        <v>0.1</v>
      </c>
      <c r="F492" s="101">
        <f>1*(D492+E492)+0.035</f>
        <v>0.28500000000000003</v>
      </c>
      <c r="G492" s="101">
        <f>2*(C492+0.7*(E492)+0.055)</f>
        <v>1.03</v>
      </c>
      <c r="H492" s="83">
        <f>H481</f>
        <v>0</v>
      </c>
      <c r="I492" s="121">
        <f>I41</f>
        <v>2000</v>
      </c>
      <c r="J492" s="122" t="b">
        <f>AND(F492&gt;=0.318,F492&lt;=0.698,G492&gt;=0.533,G492&lt;=1.025)</f>
        <v>0</v>
      </c>
      <c r="K492" s="122">
        <f>IF(J492,1,0)</f>
        <v>0</v>
      </c>
      <c r="L492" s="69">
        <f>IF(J492=TRUE,I492/K492,0)</f>
        <v>0</v>
      </c>
      <c r="M492" s="69">
        <f>IF(J492=FALSE, 0, IF(J492=TRUE, IF(L492&gt;=P491, IF(L492&lt;=Q491, R491, IF(L492&lt;=Q492, L492*$S$483*1, IF(L492&lt;=Q493, L492*$S$483*0.9, IF(L492&lt;=Q494, L492*$S$483*0.85, 0)))), 0), 0))</f>
        <v>0</v>
      </c>
      <c r="N492" s="13">
        <f>M492</f>
        <v>0</v>
      </c>
      <c r="P492" s="4">
        <v>2000</v>
      </c>
      <c r="Q492" s="4">
        <v>9999</v>
      </c>
      <c r="R492" s="4"/>
      <c r="S492" s="4">
        <v>0.05</v>
      </c>
      <c r="T492" s="4">
        <v>1</v>
      </c>
    </row>
    <row r="493" spans="2:21" x14ac:dyDescent="0.25">
      <c r="B493" s="82"/>
      <c r="C493" s="100">
        <f>$C$37/1000</f>
        <v>0.39</v>
      </c>
      <c r="D493" s="100">
        <f>$D$37/1000</f>
        <v>0.15</v>
      </c>
      <c r="E493" s="100">
        <f>$E$37/1000</f>
        <v>0.1</v>
      </c>
      <c r="F493" s="101">
        <f>1*(D493+E493)+0.035</f>
        <v>0.28500000000000003</v>
      </c>
      <c r="G493" s="101">
        <f>2*(C493+0.7*(E493)+0.055)</f>
        <v>1.03</v>
      </c>
      <c r="H493" s="83">
        <f>H481</f>
        <v>0</v>
      </c>
      <c r="I493" s="121">
        <f>I42</f>
        <v>3000</v>
      </c>
      <c r="J493" s="122" t="b">
        <f>AND(F493&gt;=0.318,F493&lt;=0.698,G493&gt;=0.533,G493&lt;=1.025)</f>
        <v>0</v>
      </c>
      <c r="K493" s="122">
        <f>IF(J493,1,0)</f>
        <v>0</v>
      </c>
      <c r="L493" s="69">
        <f>IF(J493=TRUE,I493/K493,0)</f>
        <v>0</v>
      </c>
      <c r="M493" s="69">
        <f>IF(J493=FALSE, 0, IF(J493=TRUE, IF(L493&gt;=P491, IF(L493&lt;=Q491, R491, IF(L493&lt;=Q492, L493*$S$483*1, IF(L493&lt;=Q493, L493*$S$483*0.9, IF(L493&lt;=Q494, L493*$S$483*0.85, 0)))), 0), 0))</f>
        <v>0</v>
      </c>
      <c r="N493" s="13">
        <f>M493</f>
        <v>0</v>
      </c>
      <c r="P493" s="4">
        <v>10000</v>
      </c>
      <c r="Q493" s="4">
        <v>49999</v>
      </c>
      <c r="R493" s="4"/>
      <c r="S493" s="4">
        <v>0.05</v>
      </c>
      <c r="T493" s="4">
        <v>0.9</v>
      </c>
    </row>
    <row r="494" spans="2:21" x14ac:dyDescent="0.25">
      <c r="B494" s="82"/>
      <c r="C494" s="100">
        <f>$C$37/1000</f>
        <v>0.39</v>
      </c>
      <c r="D494" s="100">
        <f>$D$37/1000</f>
        <v>0.15</v>
      </c>
      <c r="E494" s="100">
        <f>$E$37/1000</f>
        <v>0.1</v>
      </c>
      <c r="F494" s="101">
        <f>1*(D494+E494)+0.035</f>
        <v>0.28500000000000003</v>
      </c>
      <c r="G494" s="101">
        <f>2*(C494+0.7*(E494)+0.055)</f>
        <v>1.03</v>
      </c>
      <c r="H494" s="83">
        <f>H481</f>
        <v>0</v>
      </c>
      <c r="I494" s="121">
        <f>I43</f>
        <v>4000</v>
      </c>
      <c r="J494" s="122" t="b">
        <f>AND(F494&gt;=0.318,F494&lt;=0.698,G494&gt;=0.533,G494&lt;=1.025)</f>
        <v>0</v>
      </c>
      <c r="K494" s="122">
        <f>IF(J494,1,0)</f>
        <v>0</v>
      </c>
      <c r="L494" s="69">
        <f>IF(J494=TRUE,I494/K494,0)</f>
        <v>0</v>
      </c>
      <c r="M494" s="69">
        <f>IF(J494=FALSE, 0, IF(J494=TRUE, IF(L494&gt;=P491, IF(L494&lt;=Q491, R491, IF(L494&lt;=Q492, L494*$S$483*1, IF(L494&lt;=Q493, L494*$S$483*0.9, IF(L494&lt;=Q494, L494*$S$483*0.85, 0)))), 0), 0))</f>
        <v>0</v>
      </c>
      <c r="N494" s="13">
        <f>M494</f>
        <v>0</v>
      </c>
      <c r="P494" s="4">
        <v>50000</v>
      </c>
      <c r="Q494" s="4">
        <v>2000000</v>
      </c>
      <c r="R494" s="4"/>
      <c r="S494" s="4">
        <v>0.05</v>
      </c>
      <c r="T494" s="4">
        <v>0.85</v>
      </c>
    </row>
    <row r="496" spans="2:21" ht="15.75" thickBot="1" x14ac:dyDescent="0.3"/>
    <row r="497" spans="2:20" ht="15.75" thickBot="1" x14ac:dyDescent="0.3">
      <c r="B497" s="82" t="s">
        <v>0</v>
      </c>
      <c r="C497" s="83">
        <f>C479</f>
        <v>390</v>
      </c>
      <c r="D497" s="115">
        <f>D479</f>
        <v>150</v>
      </c>
      <c r="E497" s="83">
        <f>E479</f>
        <v>100</v>
      </c>
      <c r="F497" s="116">
        <f>C497+0.5*E497+23</f>
        <v>463</v>
      </c>
      <c r="G497" s="117">
        <v>113</v>
      </c>
      <c r="H497" s="118">
        <v>358.77499999999998</v>
      </c>
      <c r="I497" s="82"/>
    </row>
    <row r="498" spans="2:20" ht="30" x14ac:dyDescent="0.25">
      <c r="B498" s="82"/>
      <c r="C498" s="82"/>
      <c r="D498" s="82"/>
      <c r="E498" s="82"/>
      <c r="F498" s="229" t="s">
        <v>117</v>
      </c>
      <c r="G498" s="230"/>
      <c r="H498" s="83" t="s">
        <v>307</v>
      </c>
      <c r="I498" s="86" t="s">
        <v>86</v>
      </c>
      <c r="J498" s="4" t="s">
        <v>113</v>
      </c>
      <c r="K498" s="4"/>
      <c r="L498" s="93" t="s">
        <v>308</v>
      </c>
      <c r="M498" s="93"/>
      <c r="N498" s="4" t="s">
        <v>310</v>
      </c>
      <c r="P498" s="4" t="s">
        <v>311</v>
      </c>
      <c r="Q498" s="4" t="s">
        <v>312</v>
      </c>
      <c r="R498" s="95" t="s">
        <v>313</v>
      </c>
      <c r="S498" s="93" t="s">
        <v>314</v>
      </c>
      <c r="T498" s="93" t="s">
        <v>315</v>
      </c>
    </row>
    <row r="499" spans="2:20" x14ac:dyDescent="0.25">
      <c r="B499" s="82"/>
      <c r="C499" s="83" t="s">
        <v>5</v>
      </c>
      <c r="D499" s="83" t="s">
        <v>6</v>
      </c>
      <c r="E499" s="83" t="s">
        <v>7</v>
      </c>
      <c r="F499" s="83" t="s">
        <v>115</v>
      </c>
      <c r="G499" s="83" t="s">
        <v>110</v>
      </c>
      <c r="H499" s="147">
        <f>H481</f>
        <v>0</v>
      </c>
      <c r="I499" s="83"/>
      <c r="J499" s="85"/>
      <c r="K499" s="85"/>
      <c r="L499" s="85"/>
      <c r="M499" s="85"/>
      <c r="N499" s="4"/>
    </row>
    <row r="500" spans="2:20" x14ac:dyDescent="0.25">
      <c r="B500" s="143" t="s">
        <v>0</v>
      </c>
      <c r="C500" s="100">
        <f>$C$37/1000</f>
        <v>0.39</v>
      </c>
      <c r="D500" s="100">
        <f>$D$37/1000</f>
        <v>0.15</v>
      </c>
      <c r="E500" s="100">
        <f>$E$37/1000</f>
        <v>0.1</v>
      </c>
      <c r="F500" s="101">
        <f>D500+E500+0.035</f>
        <v>0.28500000000000003</v>
      </c>
      <c r="G500" s="101">
        <f>C500+0.7*(E500)+0.055</f>
        <v>0.51500000000000001</v>
      </c>
      <c r="H500" s="147">
        <f>H481</f>
        <v>0</v>
      </c>
      <c r="I500" s="121">
        <f>I40</f>
        <v>1000</v>
      </c>
      <c r="J500" s="122" t="b">
        <f>OR(AND(F500&gt;=0.318,F500&lt;=0.698,G500&gt;=0.533,G500&lt;=1.025),AND(F500&gt;=0.533,F500&lt;=1.025,G500&gt;=0.318,G500&lt;=0.698))</f>
        <v>0</v>
      </c>
      <c r="K500" s="123">
        <f>IF(J500,0.5,0)</f>
        <v>0</v>
      </c>
      <c r="L500" s="69">
        <f>IF(J500=TRUE,I500/K500,0)</f>
        <v>0</v>
      </c>
      <c r="M500" s="69">
        <f>IF(J500=FALSE, 0, IF(J500=TRUE, IF(L500&gt;=P500, IF(L500&lt;=Q500, R500, IF(L500&lt;=Q501, L500*$S$483*1, IF(L500&lt;=Q502, L500*$S$483*0.9, IF(L500&lt;=Q503, L500*$S$483*0.85, 0)))), 0), 0))</f>
        <v>0</v>
      </c>
      <c r="N500" s="13">
        <f>M500</f>
        <v>0</v>
      </c>
      <c r="P500" s="4">
        <v>100</v>
      </c>
      <c r="Q500" s="4">
        <v>1999</v>
      </c>
      <c r="R500" s="4">
        <v>100</v>
      </c>
      <c r="S500" s="4">
        <v>0.05</v>
      </c>
      <c r="T500" s="4">
        <v>1</v>
      </c>
    </row>
    <row r="501" spans="2:20" x14ac:dyDescent="0.25">
      <c r="B501" s="82"/>
      <c r="C501" s="100">
        <f>$C$37/1000</f>
        <v>0.39</v>
      </c>
      <c r="D501" s="100">
        <f>$D$37/1000</f>
        <v>0.15</v>
      </c>
      <c r="E501" s="100">
        <f>$E$37/1000</f>
        <v>0.1</v>
      </c>
      <c r="F501" s="101">
        <f>D501+E501+0.035</f>
        <v>0.28500000000000003</v>
      </c>
      <c r="G501" s="101">
        <f>C501+0.7*(E501)+0.055</f>
        <v>0.51500000000000001</v>
      </c>
      <c r="H501" s="147">
        <f>H481</f>
        <v>0</v>
      </c>
      <c r="I501" s="121">
        <f>I41</f>
        <v>2000</v>
      </c>
      <c r="J501" s="122" t="b">
        <f>OR(AND(F501&gt;=0.318,F501&lt;=0.698,G501&gt;=0.533,G501&lt;=1.025),AND(F501&gt;=0.533,F501&lt;=1.025,G501&gt;=0.318,G501&lt;=0.698))</f>
        <v>0</v>
      </c>
      <c r="K501" s="123">
        <f>IF(J501,0.5,0)</f>
        <v>0</v>
      </c>
      <c r="L501" s="69">
        <f>IF(J501=TRUE,I501/K501,0)</f>
        <v>0</v>
      </c>
      <c r="M501" s="69">
        <f>IF(J501=FALSE, 0, IF(J501=TRUE, IF(L501&gt;=P500, IF(L501&lt;=Q500, R500, IF(L501&lt;=Q501, L501*$S$483*1, IF(L501&lt;=Q502, L501*$S$483*0.9, IF(L501&lt;=Q503, L501*$S$483*0.85, 0)))), 0), 0))</f>
        <v>0</v>
      </c>
      <c r="N501" s="13">
        <f>M501</f>
        <v>0</v>
      </c>
      <c r="P501" s="4">
        <v>2000</v>
      </c>
      <c r="Q501" s="4">
        <v>9999</v>
      </c>
      <c r="R501" s="4"/>
      <c r="S501" s="4">
        <v>0.05</v>
      </c>
      <c r="T501" s="4">
        <v>1</v>
      </c>
    </row>
    <row r="502" spans="2:20" x14ac:dyDescent="0.25">
      <c r="B502" s="82"/>
      <c r="C502" s="100">
        <f>$C$37/1000</f>
        <v>0.39</v>
      </c>
      <c r="D502" s="100">
        <f>$D$37/1000</f>
        <v>0.15</v>
      </c>
      <c r="E502" s="100">
        <f>$E$37/1000</f>
        <v>0.1</v>
      </c>
      <c r="F502" s="101">
        <f>D502+E502+0.035</f>
        <v>0.28500000000000003</v>
      </c>
      <c r="G502" s="101">
        <f>C502+0.7*(E502)+0.055</f>
        <v>0.51500000000000001</v>
      </c>
      <c r="H502" s="147">
        <f>H481</f>
        <v>0</v>
      </c>
      <c r="I502" s="121">
        <f>I42</f>
        <v>3000</v>
      </c>
      <c r="J502" s="122" t="b">
        <f>OR(AND(F502&gt;=0.318,F502&lt;=0.698,G502&gt;=0.533,G502&lt;=1.025),AND(F502&gt;=0.533,F502&lt;=1.025,G502&gt;=0.318,G502&lt;=0.698))</f>
        <v>0</v>
      </c>
      <c r="K502" s="123">
        <f>IF(J502,0.5,0)</f>
        <v>0</v>
      </c>
      <c r="L502" s="69">
        <f>IF(J502=TRUE,I502/K502,0)</f>
        <v>0</v>
      </c>
      <c r="M502" s="69">
        <f>IF(J502=FALSE, 0, IF(J502=TRUE, IF(L502&gt;=P500, IF(L502&lt;=Q500, R500, IF(L502&lt;=Q501, L502*$S$483*1, IF(L502&lt;=Q502, L502*$S$483*0.9, IF(L502&lt;=Q503, L502*$S$483*0.85, 0)))), 0), 0))</f>
        <v>0</v>
      </c>
      <c r="N502" s="13">
        <f>M502</f>
        <v>0</v>
      </c>
      <c r="P502" s="4">
        <v>10000</v>
      </c>
      <c r="Q502" s="4">
        <v>49999</v>
      </c>
      <c r="R502" s="4"/>
      <c r="S502" s="4">
        <v>0.05</v>
      </c>
      <c r="T502" s="4">
        <v>0.9</v>
      </c>
    </row>
    <row r="503" spans="2:20" x14ac:dyDescent="0.25">
      <c r="B503" s="82"/>
      <c r="C503" s="100">
        <f>$C$37/1000</f>
        <v>0.39</v>
      </c>
      <c r="D503" s="100">
        <f>$D$37/1000</f>
        <v>0.15</v>
      </c>
      <c r="E503" s="100">
        <f>$E$37/1000</f>
        <v>0.1</v>
      </c>
      <c r="F503" s="101">
        <f>D503+E503+0.035</f>
        <v>0.28500000000000003</v>
      </c>
      <c r="G503" s="101">
        <f>C503+0.7*(E503)+0.055</f>
        <v>0.51500000000000001</v>
      </c>
      <c r="H503" s="147">
        <f>H481</f>
        <v>0</v>
      </c>
      <c r="I503" s="121">
        <f>I43</f>
        <v>4000</v>
      </c>
      <c r="J503" s="122" t="b">
        <f>OR(AND(F503&gt;=0.318,F503&lt;=0.698,G503&gt;=0.533,G503&lt;=1.025),AND(F503&gt;=0.533,F503&lt;=1.025,G503&gt;=0.318,G503&lt;=0.698))</f>
        <v>0</v>
      </c>
      <c r="K503" s="123">
        <f>IF(J503,0.5,0)</f>
        <v>0</v>
      </c>
      <c r="L503" s="69">
        <f>IF(J503=TRUE,I503/K503,0)</f>
        <v>0</v>
      </c>
      <c r="M503" s="69">
        <f>IF(J503=FALSE, 0, IF(J503=TRUE, IF(L503&gt;=P500, IF(L503&lt;=Q500, R500, IF(L503&lt;=Q501, L503*$S$483*1, IF(L503&lt;=Q502, L503*$S$483*0.9, IF(L503&lt;=Q503, L503*$S$483*0.85, 0)))), 0), 0))</f>
        <v>0</v>
      </c>
      <c r="N503" s="13">
        <f>M503</f>
        <v>0</v>
      </c>
      <c r="P503" s="4">
        <v>50000</v>
      </c>
      <c r="Q503" s="4">
        <v>2000000</v>
      </c>
      <c r="R503" s="4"/>
      <c r="S503" s="4">
        <v>0.05</v>
      </c>
      <c r="T503" s="4">
        <v>0.85</v>
      </c>
    </row>
    <row r="505" spans="2:20" ht="15.75" thickBot="1" x14ac:dyDescent="0.3"/>
    <row r="506" spans="2:20" ht="15.75" thickBot="1" x14ac:dyDescent="0.3">
      <c r="B506" s="82" t="s">
        <v>0</v>
      </c>
      <c r="C506" s="83">
        <f>C479</f>
        <v>390</v>
      </c>
      <c r="D506" s="115">
        <f>D479</f>
        <v>150</v>
      </c>
      <c r="E506" s="83">
        <f>E479</f>
        <v>100</v>
      </c>
      <c r="F506" s="116">
        <f>C506+0.5*E506+23</f>
        <v>463</v>
      </c>
      <c r="G506" s="117">
        <v>113</v>
      </c>
      <c r="H506" s="126">
        <v>358.77499999999998</v>
      </c>
      <c r="I506" s="82"/>
    </row>
    <row r="507" spans="2:20" ht="30" x14ac:dyDescent="0.25">
      <c r="B507" s="82"/>
      <c r="C507" s="82"/>
      <c r="D507" s="82"/>
      <c r="E507" s="82"/>
      <c r="F507" s="229" t="s">
        <v>119</v>
      </c>
      <c r="G507" s="231"/>
      <c r="H507" s="83" t="s">
        <v>307</v>
      </c>
      <c r="I507" s="86" t="s">
        <v>86</v>
      </c>
      <c r="J507" s="87" t="s">
        <v>87</v>
      </c>
      <c r="K507" s="4" t="s">
        <v>88</v>
      </c>
      <c r="L507" s="93" t="s">
        <v>308</v>
      </c>
      <c r="M507" s="93"/>
      <c r="N507" s="4" t="s">
        <v>310</v>
      </c>
      <c r="P507" s="4" t="s">
        <v>311</v>
      </c>
      <c r="Q507" s="4" t="s">
        <v>312</v>
      </c>
      <c r="R507" s="95" t="s">
        <v>313</v>
      </c>
      <c r="S507" s="93" t="s">
        <v>314</v>
      </c>
      <c r="T507" s="93" t="s">
        <v>315</v>
      </c>
    </row>
    <row r="508" spans="2:20" x14ac:dyDescent="0.25">
      <c r="B508" s="82"/>
      <c r="C508" s="83" t="s">
        <v>5</v>
      </c>
      <c r="D508" s="83" t="s">
        <v>6</v>
      </c>
      <c r="E508" s="83" t="s">
        <v>7</v>
      </c>
      <c r="F508" s="83" t="s">
        <v>109</v>
      </c>
      <c r="G508" s="83" t="s">
        <v>121</v>
      </c>
      <c r="H508" s="148">
        <f>H481</f>
        <v>0</v>
      </c>
      <c r="I508" s="83"/>
      <c r="J508" s="85" t="s">
        <v>111</v>
      </c>
      <c r="L508" s="85"/>
      <c r="M508" s="85"/>
      <c r="N508" s="4"/>
    </row>
    <row r="509" spans="2:20" x14ac:dyDescent="0.25">
      <c r="B509" s="143" t="s">
        <v>0</v>
      </c>
      <c r="C509" s="100">
        <f>$C$37/1000</f>
        <v>0.39</v>
      </c>
      <c r="D509" s="100">
        <f>$D$37/1000</f>
        <v>0.15</v>
      </c>
      <c r="E509" s="100">
        <f>$E$37/1000</f>
        <v>0.1</v>
      </c>
      <c r="F509" s="101">
        <f>2*(D509+E509)+0.035</f>
        <v>0.53500000000000003</v>
      </c>
      <c r="G509" s="101">
        <f>2*(C509+0.7*(E509)+0.055)</f>
        <v>1.03</v>
      </c>
      <c r="H509" s="149">
        <f>H481</f>
        <v>0</v>
      </c>
      <c r="I509" s="121">
        <f>I40</f>
        <v>1000</v>
      </c>
      <c r="J509" s="104" t="b">
        <f>OR(AND(F509&gt;=0.3,F509&lt;=0.698,G509&gt;=0.42,G509&lt;=1.025),AND(F509&gt;=0.42,F509&lt;=1.025,G509&gt;=0.3,G509&lt;=0.698))</f>
        <v>0</v>
      </c>
      <c r="K509" s="104">
        <f>IF(J509,2,0)</f>
        <v>0</v>
      </c>
      <c r="L509" s="69">
        <f>IF(J509=TRUE,I509/K509,0)</f>
        <v>0</v>
      </c>
      <c r="M509" s="69">
        <f>IF(J509=FALSE, 0, IF(J509=TRUE, IF(L509&gt;=P509, IF(L509&lt;=Q509, R509, IF(L509&lt;=Q510, L509*$S$483*1, IF(L509&lt;=Q511, L509*$S$483*0.9, IF(L509&lt;=Q512, L509*$S$483*0.85, 0)))), 0), 0))</f>
        <v>0</v>
      </c>
      <c r="N509" s="13">
        <f>M509</f>
        <v>0</v>
      </c>
      <c r="P509" s="4">
        <v>100</v>
      </c>
      <c r="Q509" s="4">
        <v>1999</v>
      </c>
      <c r="R509" s="4">
        <v>100</v>
      </c>
      <c r="S509" s="4">
        <v>0.05</v>
      </c>
      <c r="T509" s="4">
        <v>1</v>
      </c>
    </row>
    <row r="510" spans="2:20" x14ac:dyDescent="0.25">
      <c r="B510" s="82"/>
      <c r="C510" s="100">
        <f>$C$37/1000</f>
        <v>0.39</v>
      </c>
      <c r="D510" s="100">
        <f>$D$37/1000</f>
        <v>0.15</v>
      </c>
      <c r="E510" s="100">
        <f>$E$37/1000</f>
        <v>0.1</v>
      </c>
      <c r="F510" s="101">
        <f>2*(D510+E510)+0.035</f>
        <v>0.53500000000000003</v>
      </c>
      <c r="G510" s="101">
        <f>2*(C510+0.7*(E510)+0.055)</f>
        <v>1.03</v>
      </c>
      <c r="H510" s="149">
        <f>H481</f>
        <v>0</v>
      </c>
      <c r="I510" s="121">
        <f>I41</f>
        <v>2000</v>
      </c>
      <c r="J510" s="104" t="b">
        <f>OR(AND(F510&gt;=0.3,F510&lt;=0.698,G510&gt;=0.42,G510&lt;=1.025),AND(F510&gt;=0.42,F510&lt;=1.025,G510&gt;=0.3,G510&lt;=0.698))</f>
        <v>0</v>
      </c>
      <c r="K510" s="104">
        <f>IF(J510,2,0)</f>
        <v>0</v>
      </c>
      <c r="L510" s="69">
        <f>IF(J510=TRUE,I510/K510,0)</f>
        <v>0</v>
      </c>
      <c r="M510" s="69">
        <f>IF(J510=FALSE, 0, IF(J510=TRUE, IF(L510&gt;=P509, IF(L510&lt;=Q509, R509, IF(L510&lt;=Q510, L510*$S$483*1, IF(L510&lt;=Q511, L510*$S$483*0.9, IF(L510&lt;=Q512, L510*$S$483*0.85, 0)))), 0), 0))</f>
        <v>0</v>
      </c>
      <c r="N510" s="13">
        <f>M510</f>
        <v>0</v>
      </c>
      <c r="P510" s="4">
        <v>2000</v>
      </c>
      <c r="Q510" s="4">
        <v>9999</v>
      </c>
      <c r="R510" s="4"/>
      <c r="S510" s="4">
        <v>0.05</v>
      </c>
      <c r="T510" s="4">
        <v>1</v>
      </c>
    </row>
    <row r="511" spans="2:20" x14ac:dyDescent="0.25">
      <c r="B511" s="82"/>
      <c r="C511" s="100">
        <f>$C$37/1000</f>
        <v>0.39</v>
      </c>
      <c r="D511" s="100">
        <f>$D$37/1000</f>
        <v>0.15</v>
      </c>
      <c r="E511" s="100">
        <f>$E$37/1000</f>
        <v>0.1</v>
      </c>
      <c r="F511" s="101">
        <f>2*(D511+E511)+0.035</f>
        <v>0.53500000000000003</v>
      </c>
      <c r="G511" s="101">
        <f>2*(C511+0.7*(E511)+0.055)</f>
        <v>1.03</v>
      </c>
      <c r="H511" s="149">
        <f>H481</f>
        <v>0</v>
      </c>
      <c r="I511" s="121">
        <f>I42</f>
        <v>3000</v>
      </c>
      <c r="J511" s="104" t="b">
        <f>OR(AND(F511&gt;=0.3,F511&lt;=0.698,G511&gt;=0.42,G511&lt;=1.025),AND(F511&gt;=0.42,F511&lt;=1.025,G511&gt;=0.3,G511&lt;=0.698))</f>
        <v>0</v>
      </c>
      <c r="K511" s="104">
        <f>IF(J511,2,0)</f>
        <v>0</v>
      </c>
      <c r="L511" s="69">
        <f>IF(J511=TRUE,I511/K511,0)</f>
        <v>0</v>
      </c>
      <c r="M511" s="69">
        <f>IF(J511=FALSE, 0, IF(J511=TRUE, IF(L511&gt;=P509, IF(L511&lt;=Q509, R509, IF(L511&lt;=Q510, L511*$S$483*1, IF(L511&lt;=Q511, L511*$S$483*0.9, IF(L511&lt;=Q512, L511*$S$483*0.85, 0)))), 0), 0))</f>
        <v>0</v>
      </c>
      <c r="N511" s="13">
        <f>M511</f>
        <v>0</v>
      </c>
      <c r="P511" s="4">
        <v>10000</v>
      </c>
      <c r="Q511" s="4">
        <v>49999</v>
      </c>
      <c r="R511" s="4"/>
      <c r="S511" s="4">
        <v>0.05</v>
      </c>
      <c r="T511" s="4">
        <v>0.9</v>
      </c>
    </row>
    <row r="512" spans="2:20" x14ac:dyDescent="0.25">
      <c r="B512" s="82"/>
      <c r="C512" s="100">
        <f>$C$37/1000</f>
        <v>0.39</v>
      </c>
      <c r="D512" s="100">
        <f>$D$37/1000</f>
        <v>0.15</v>
      </c>
      <c r="E512" s="100">
        <f>$E$37/1000</f>
        <v>0.1</v>
      </c>
      <c r="F512" s="101">
        <f>2*(D512+E512)+0.035</f>
        <v>0.53500000000000003</v>
      </c>
      <c r="G512" s="101">
        <f>2*(C512+0.7*(E512)+0.055)</f>
        <v>1.03</v>
      </c>
      <c r="H512" s="149">
        <f>H481</f>
        <v>0</v>
      </c>
      <c r="I512" s="121">
        <f>I43</f>
        <v>4000</v>
      </c>
      <c r="J512" s="104" t="b">
        <f>OR(AND(F512&gt;=0.3,F512&lt;=0.698,G512&gt;=0.42,G512&lt;=1.025),AND(F512&gt;=0.42,F512&lt;=1.025,G512&gt;=0.3,G512&lt;=0.698))</f>
        <v>0</v>
      </c>
      <c r="K512" s="104">
        <f>IF(J512,2,0)</f>
        <v>0</v>
      </c>
      <c r="L512" s="69">
        <f>IF(J512=TRUE,I512/K512,0)</f>
        <v>0</v>
      </c>
      <c r="M512" s="69">
        <f>IF(J512=FALSE, 0, IF(J512=TRUE, IF(L512&gt;=P509, IF(L512&lt;=Q509, R509, IF(L512&lt;=Q510, L512*$S$483*1, IF(L512&lt;=Q511, L512*$S$483*0.9, IF(L512&lt;=Q512, L512*$S$483*0.85, 0)))), 0), 0))</f>
        <v>0</v>
      </c>
      <c r="N512" s="13">
        <f>M512</f>
        <v>0</v>
      </c>
      <c r="P512" s="4">
        <v>50000</v>
      </c>
      <c r="Q512" s="4">
        <v>2000000</v>
      </c>
      <c r="R512" s="4"/>
      <c r="S512" s="4">
        <v>0.05</v>
      </c>
      <c r="T512" s="4">
        <v>0.85</v>
      </c>
    </row>
    <row r="516" spans="1:21" s="80" customFormat="1" x14ac:dyDescent="0.25">
      <c r="A516" s="226" t="s">
        <v>317</v>
      </c>
      <c r="B516" s="226"/>
      <c r="C516" s="226"/>
      <c r="Q516" s="226" t="s">
        <v>317</v>
      </c>
      <c r="R516" s="226"/>
      <c r="S516" s="226"/>
    </row>
    <row r="517" spans="1:21" ht="18.75" x14ac:dyDescent="0.3">
      <c r="A517" s="24"/>
      <c r="B517" s="81" t="s">
        <v>318</v>
      </c>
      <c r="C517" s="81"/>
      <c r="D517" s="81"/>
      <c r="E517" s="81"/>
      <c r="F517" s="81"/>
      <c r="G517" s="81"/>
      <c r="H517" s="81"/>
      <c r="I517" s="24"/>
      <c r="J517" s="24"/>
      <c r="K517" s="24"/>
      <c r="L517" s="24"/>
      <c r="M517" s="24"/>
      <c r="N517" s="24"/>
      <c r="O517" s="24"/>
      <c r="P517" s="24"/>
      <c r="Q517" s="24"/>
    </row>
    <row r="518" spans="1:21" x14ac:dyDescent="0.25">
      <c r="E518" s="211" t="s">
        <v>206</v>
      </c>
      <c r="F518" s="179" t="s">
        <v>304</v>
      </c>
    </row>
    <row r="519" spans="1:21" x14ac:dyDescent="0.25">
      <c r="C519" s="191" t="s">
        <v>305</v>
      </c>
      <c r="E519" s="211" t="s">
        <v>50</v>
      </c>
      <c r="F519" s="179" t="s">
        <v>306</v>
      </c>
    </row>
    <row r="520" spans="1:21" ht="15.75" thickBot="1" x14ac:dyDescent="0.3">
      <c r="C520" s="193" t="str">
        <f>F518</f>
        <v>Normal Textured</v>
      </c>
    </row>
    <row r="521" spans="1:21" ht="15.75" thickBot="1" x14ac:dyDescent="0.3">
      <c r="B521" s="82" t="s">
        <v>0</v>
      </c>
      <c r="C521" s="83">
        <f>B8</f>
        <v>390</v>
      </c>
      <c r="D521" s="115">
        <f>C8</f>
        <v>150</v>
      </c>
      <c r="E521" s="83">
        <f>D8</f>
        <v>100</v>
      </c>
      <c r="F521" s="116">
        <f>C521+0.5*E521+23</f>
        <v>463</v>
      </c>
      <c r="G521" s="117">
        <v>113</v>
      </c>
      <c r="H521" s="126">
        <v>358.77499999999998</v>
      </c>
      <c r="I521" s="82"/>
    </row>
    <row r="522" spans="1:21" ht="30.75" thickBot="1" x14ac:dyDescent="0.3">
      <c r="B522" s="82"/>
      <c r="C522" s="82"/>
      <c r="D522" s="82"/>
      <c r="E522" s="82"/>
      <c r="F522" s="227" t="s">
        <v>85</v>
      </c>
      <c r="G522" s="228"/>
      <c r="H522" s="83" t="s">
        <v>307</v>
      </c>
      <c r="I522" s="86" t="s">
        <v>86</v>
      </c>
      <c r="J522" s="87" t="s">
        <v>87</v>
      </c>
      <c r="K522" s="4" t="s">
        <v>88</v>
      </c>
      <c r="L522" s="93" t="s">
        <v>319</v>
      </c>
      <c r="M522" s="93" t="s">
        <v>309</v>
      </c>
      <c r="N522" s="4" t="s">
        <v>320</v>
      </c>
      <c r="P522" s="4" t="s">
        <v>311</v>
      </c>
      <c r="Q522" s="4" t="s">
        <v>312</v>
      </c>
      <c r="R522" s="95" t="s">
        <v>313</v>
      </c>
      <c r="S522" s="93" t="s">
        <v>314</v>
      </c>
      <c r="T522" s="93" t="s">
        <v>315</v>
      </c>
      <c r="U522" s="213" t="s">
        <v>321</v>
      </c>
    </row>
    <row r="523" spans="1:21" x14ac:dyDescent="0.25">
      <c r="B523" s="82"/>
      <c r="C523" s="83" t="s">
        <v>5</v>
      </c>
      <c r="D523" s="83" t="s">
        <v>6</v>
      </c>
      <c r="E523" s="83" t="s">
        <v>7</v>
      </c>
      <c r="F523" s="83" t="s">
        <v>109</v>
      </c>
      <c r="G523" s="83" t="s">
        <v>110</v>
      </c>
      <c r="H523" s="142">
        <f>E440</f>
        <v>0</v>
      </c>
      <c r="I523" s="83"/>
      <c r="J523" s="85" t="s">
        <v>111</v>
      </c>
      <c r="L523" s="85"/>
      <c r="M523" s="85"/>
      <c r="N523" s="4"/>
    </row>
    <row r="524" spans="1:21" x14ac:dyDescent="0.25">
      <c r="B524" s="143" t="s">
        <v>0</v>
      </c>
      <c r="C524" s="100">
        <f>$C$37/1000</f>
        <v>0.39</v>
      </c>
      <c r="D524" s="100">
        <f>$D$37/1000</f>
        <v>0.15</v>
      </c>
      <c r="E524" s="100">
        <f>$E$37/1000</f>
        <v>0.1</v>
      </c>
      <c r="F524" s="101">
        <f>2*(D524+E524)+0.035</f>
        <v>0.53500000000000003</v>
      </c>
      <c r="G524" s="101">
        <f>C524+0.7*(E524)+0.055</f>
        <v>0.51500000000000001</v>
      </c>
      <c r="H524" s="144">
        <f>H523</f>
        <v>0</v>
      </c>
      <c r="I524" s="121">
        <f>I7</f>
        <v>1000</v>
      </c>
      <c r="J524" s="104" t="b">
        <f>AND(F524&gt;=0.533,F524&lt;=1.025,G524&gt;=0.318,G524&lt;=0.698)</f>
        <v>1</v>
      </c>
      <c r="K524" s="104">
        <f>IF(J524,1,0)</f>
        <v>1</v>
      </c>
      <c r="L524" s="69">
        <f>IF(J524=TRUE,I524/K524,0)</f>
        <v>1000</v>
      </c>
      <c r="M524" s="69">
        <f>IF(J524=FALSE, 0, IF(J524=TRUE, IF(L524&gt;=P524, IF(L524&lt;=Q524, R524, IF(L524&lt;=Q525, L524*$S$483*1, IF(L524&lt;=Q526, L524*$S$483*0.9, IF(L524&lt;=Q527, L524*$S$483*0.85, 0)))), 0), 0))</f>
        <v>90</v>
      </c>
      <c r="N524" s="13">
        <f>M524</f>
        <v>90</v>
      </c>
      <c r="P524" s="4">
        <v>100</v>
      </c>
      <c r="Q524" s="4">
        <v>1999</v>
      </c>
      <c r="R524" s="4">
        <v>90</v>
      </c>
      <c r="S524" s="4">
        <v>0.05</v>
      </c>
      <c r="T524" s="4">
        <v>1</v>
      </c>
      <c r="U524" s="59">
        <f>SUM(N524,N533,N542,N551)/MAX(1,SUM((N524&gt;0)+(N533&gt;0)+(N542&gt;0)+(N551&gt;0)))</f>
        <v>90</v>
      </c>
    </row>
    <row r="525" spans="1:21" x14ac:dyDescent="0.25">
      <c r="B525" s="82"/>
      <c r="C525" s="100">
        <f>$C$37/1000</f>
        <v>0.39</v>
      </c>
      <c r="D525" s="100">
        <f>$D$37/1000</f>
        <v>0.15</v>
      </c>
      <c r="E525" s="100">
        <f>$E$37/1000</f>
        <v>0.1</v>
      </c>
      <c r="F525" s="101">
        <f>2*(D525+E525)+0.035</f>
        <v>0.53500000000000003</v>
      </c>
      <c r="G525" s="101">
        <f>C525+0.7*(E525)+0.055</f>
        <v>0.51500000000000001</v>
      </c>
      <c r="H525" s="144">
        <f>H523</f>
        <v>0</v>
      </c>
      <c r="I525" s="121">
        <f>J7</f>
        <v>2000</v>
      </c>
      <c r="J525" s="104" t="b">
        <f>AND(F525&gt;=0.533,F525&lt;=1.025,G525&gt;=0.318,G525&lt;=0.698)</f>
        <v>1</v>
      </c>
      <c r="K525" s="104">
        <f>IF(J525,1,0)</f>
        <v>1</v>
      </c>
      <c r="L525" s="69">
        <f>IF(J525=TRUE,I525/K525,0)</f>
        <v>2000</v>
      </c>
      <c r="M525" s="69">
        <f>IF(J525=FALSE, 0, IF(J525=TRUE, IF(L525&gt;=P524, IF(L525&lt;=Q524, R524, IF(L525&lt;=Q525, L525*$S$483*0.9, IF(L525&lt;=Q526, L525*$S$483*0.8, IF(L525&lt;=Q527, L525*$S$483*0.7, 0)))), 0), 0))</f>
        <v>90</v>
      </c>
      <c r="N525" s="13">
        <f>M525</f>
        <v>90</v>
      </c>
      <c r="P525" s="4">
        <v>2000</v>
      </c>
      <c r="Q525" s="4">
        <v>9999</v>
      </c>
      <c r="R525" s="4"/>
      <c r="S525" s="4">
        <v>0.05</v>
      </c>
      <c r="T525" s="4">
        <v>0.9</v>
      </c>
      <c r="U525" s="59">
        <f>SUM(N525,N534,N543,N552)/MAX(1,SUM((N525&gt;0)+(N534&gt;0)+(N543&gt;0)+(N552&gt;0)))</f>
        <v>90</v>
      </c>
    </row>
    <row r="526" spans="1:21" x14ac:dyDescent="0.25">
      <c r="B526" s="82"/>
      <c r="C526" s="100">
        <f>$C$37/1000</f>
        <v>0.39</v>
      </c>
      <c r="D526" s="100">
        <f>$D$37/1000</f>
        <v>0.15</v>
      </c>
      <c r="E526" s="100">
        <f>$E$37/1000</f>
        <v>0.1</v>
      </c>
      <c r="F526" s="101">
        <f>2*(D526+E526)+0.035</f>
        <v>0.53500000000000003</v>
      </c>
      <c r="G526" s="101">
        <f>C526+0.7*(E526)+0.055</f>
        <v>0.51500000000000001</v>
      </c>
      <c r="H526" s="144">
        <f>H523</f>
        <v>0</v>
      </c>
      <c r="I526" s="121">
        <f>K7</f>
        <v>3000</v>
      </c>
      <c r="J526" s="104" t="b">
        <f>AND(F526&gt;=0.533,F526&lt;=1.025,G526&gt;=0.318,G526&lt;=0.698)</f>
        <v>1</v>
      </c>
      <c r="K526" s="104">
        <f>IF(J526,1,0)</f>
        <v>1</v>
      </c>
      <c r="L526" s="69">
        <f>IF(J526=TRUE,I526/K526,0)</f>
        <v>3000</v>
      </c>
      <c r="M526" s="69">
        <f>IF(J526=FALSE, 0, IF(J526=TRUE, IF(L526&gt;=P524, IF(L526&lt;=Q524, R524, IF(L526&lt;=Q525, L526*$S$483*0.9, IF(L526&lt;=Q526, L526*$S$483*0.8, IF(L526&lt;=Q527, L526*$S$483*0.7, 0)))), 0), 0))</f>
        <v>135</v>
      </c>
      <c r="N526" s="13">
        <f>M526</f>
        <v>135</v>
      </c>
      <c r="P526" s="4">
        <v>10000</v>
      </c>
      <c r="Q526" s="4">
        <v>49999</v>
      </c>
      <c r="R526" s="4"/>
      <c r="S526" s="4">
        <v>0.05</v>
      </c>
      <c r="T526" s="4">
        <v>0.8</v>
      </c>
      <c r="U526" s="59">
        <f>SUM(N526,N535,N544,N553)/MAX(1,SUM((N526&gt;0)+(N535&gt;0)+(N544&gt;0)+(N553&gt;0)))</f>
        <v>135</v>
      </c>
    </row>
    <row r="527" spans="1:21" x14ac:dyDescent="0.25">
      <c r="B527" s="82"/>
      <c r="C527" s="100">
        <f>$C$37/1000</f>
        <v>0.39</v>
      </c>
      <c r="D527" s="100">
        <f>$D$37/1000</f>
        <v>0.15</v>
      </c>
      <c r="E527" s="100">
        <f>$E$37/1000</f>
        <v>0.1</v>
      </c>
      <c r="F527" s="101">
        <f>2*(D527+E527)+0.035</f>
        <v>0.53500000000000003</v>
      </c>
      <c r="G527" s="101">
        <f>C527+0.7*(E527)+0.055</f>
        <v>0.51500000000000001</v>
      </c>
      <c r="H527" s="144">
        <f>H523</f>
        <v>0</v>
      </c>
      <c r="I527" s="121">
        <f>L7</f>
        <v>4000</v>
      </c>
      <c r="J527" s="104" t="b">
        <f>AND(F527&gt;=0.533,F527&lt;=1.025,G527&gt;=0.318,G527&lt;=0.698)</f>
        <v>1</v>
      </c>
      <c r="K527" s="104">
        <f>IF(J527,1,0)</f>
        <v>1</v>
      </c>
      <c r="L527" s="69">
        <f>IF(J527=TRUE,I527/K527,0)</f>
        <v>4000</v>
      </c>
      <c r="M527" s="69">
        <f>IF(J527=FALSE, 0, IF(J527=TRUE, IF(L527&gt;=P524, IF(L527&lt;=Q524, R524, IF(L527&lt;=Q525, L527*$S$483*0.9, IF(L527&lt;=Q526, L527*$S$483*0.8, IF(L527&lt;=Q527, L527*$S$483*0.7, 0)))), 0), 0))</f>
        <v>180</v>
      </c>
      <c r="N527" s="13">
        <f>M527</f>
        <v>180</v>
      </c>
      <c r="P527" s="4">
        <v>50000</v>
      </c>
      <c r="Q527" s="4">
        <v>2000000</v>
      </c>
      <c r="R527" s="4"/>
      <c r="S527" s="4">
        <v>0.05</v>
      </c>
      <c r="T527" s="4">
        <v>0.7</v>
      </c>
      <c r="U527" s="59">
        <f>SUM(N527,N536,N545,N554)/MAX(1,SUM((N527&gt;0)+(N536&gt;0)+(N545&gt;0)+(N554&gt;0)))</f>
        <v>180</v>
      </c>
    </row>
    <row r="528" spans="1:21" x14ac:dyDescent="0.25">
      <c r="P528" s="145"/>
    </row>
    <row r="529" spans="2:20" ht="15.75" thickBot="1" x14ac:dyDescent="0.3"/>
    <row r="530" spans="2:20" ht="15.75" thickBot="1" x14ac:dyDescent="0.3">
      <c r="B530" s="82" t="s">
        <v>0</v>
      </c>
      <c r="C530" s="83">
        <f>C521</f>
        <v>390</v>
      </c>
      <c r="D530" s="115">
        <f>D521</f>
        <v>150</v>
      </c>
      <c r="E530" s="83">
        <f>E521</f>
        <v>100</v>
      </c>
      <c r="F530" s="116">
        <f>C530+0.5*E530+23</f>
        <v>463</v>
      </c>
      <c r="G530" s="117">
        <v>113</v>
      </c>
      <c r="H530" s="118">
        <v>358.77499999999998</v>
      </c>
      <c r="I530" s="82"/>
    </row>
    <row r="531" spans="2:20" ht="30" x14ac:dyDescent="0.25">
      <c r="B531" s="82"/>
      <c r="C531" s="82"/>
      <c r="D531" s="82"/>
      <c r="E531" s="82"/>
      <c r="F531" s="229" t="s">
        <v>112</v>
      </c>
      <c r="G531" s="230"/>
      <c r="H531" s="83" t="s">
        <v>307</v>
      </c>
      <c r="I531" s="119" t="s">
        <v>86</v>
      </c>
      <c r="J531" s="4" t="s">
        <v>113</v>
      </c>
      <c r="K531" s="4"/>
      <c r="L531" s="93" t="s">
        <v>319</v>
      </c>
      <c r="M531" s="93"/>
      <c r="N531" s="4" t="s">
        <v>320</v>
      </c>
      <c r="P531" s="4" t="s">
        <v>311</v>
      </c>
      <c r="Q531" s="4" t="s">
        <v>312</v>
      </c>
      <c r="R531" s="95" t="s">
        <v>313</v>
      </c>
      <c r="S531" s="93" t="s">
        <v>314</v>
      </c>
      <c r="T531" s="93" t="s">
        <v>315</v>
      </c>
    </row>
    <row r="532" spans="2:20" x14ac:dyDescent="0.25">
      <c r="B532" s="82"/>
      <c r="C532" s="83" t="s">
        <v>5</v>
      </c>
      <c r="D532" s="83" t="s">
        <v>6</v>
      </c>
      <c r="E532" s="83" t="s">
        <v>7</v>
      </c>
      <c r="F532" s="83" t="s">
        <v>115</v>
      </c>
      <c r="G532" s="83" t="s">
        <v>116</v>
      </c>
      <c r="H532" s="4">
        <f>H523</f>
        <v>0</v>
      </c>
      <c r="I532" s="83"/>
      <c r="J532" s="85"/>
      <c r="K532" s="85"/>
      <c r="L532" s="85"/>
      <c r="M532" s="85"/>
      <c r="N532" s="4"/>
    </row>
    <row r="533" spans="2:20" x14ac:dyDescent="0.25">
      <c r="B533" s="143" t="s">
        <v>0</v>
      </c>
      <c r="C533" s="100">
        <f>$C$37/1000</f>
        <v>0.39</v>
      </c>
      <c r="D533" s="100">
        <f>$D$37/1000</f>
        <v>0.15</v>
      </c>
      <c r="E533" s="100">
        <f>$E$37/1000</f>
        <v>0.1</v>
      </c>
      <c r="F533" s="101">
        <f>1*(D533+E533)+0.035</f>
        <v>0.28500000000000003</v>
      </c>
      <c r="G533" s="101">
        <f>2*(C533+0.7*(E533)+0.055)</f>
        <v>1.03</v>
      </c>
      <c r="H533" s="146">
        <f>H523</f>
        <v>0</v>
      </c>
      <c r="I533" s="121">
        <f>I7</f>
        <v>1000</v>
      </c>
      <c r="J533" s="122" t="b">
        <f>AND(F533&gt;=0.318,F533&lt;=0.698,G533&gt;=0.533,G533&lt;=1.025)</f>
        <v>0</v>
      </c>
      <c r="K533" s="122">
        <f>IF(J533,1,0)</f>
        <v>0</v>
      </c>
      <c r="L533" s="69">
        <f>IF(J533=TRUE,I533/K533,0)</f>
        <v>0</v>
      </c>
      <c r="M533" s="69">
        <f>IF(J533=FALSE, 0, IF(J533=TRUE, IF(L533&gt;=P533, IF(L533&lt;=Q533, R533, IF(L533&lt;=Q534, L533*$S$483*1, IF(L533&lt;=Q535, L533*$S$483*0.9, IF(L533&lt;=Q536, L533*$S$483*0.85, 0)))), 0), 0))</f>
        <v>0</v>
      </c>
      <c r="N533" s="13">
        <f>M533</f>
        <v>0</v>
      </c>
      <c r="P533" s="4">
        <v>100</v>
      </c>
      <c r="Q533" s="4">
        <v>1999</v>
      </c>
      <c r="R533" s="4">
        <v>90</v>
      </c>
      <c r="S533" s="4">
        <v>0.05</v>
      </c>
      <c r="T533" s="4">
        <v>1</v>
      </c>
    </row>
    <row r="534" spans="2:20" x14ac:dyDescent="0.25">
      <c r="B534" s="82"/>
      <c r="C534" s="100">
        <f>$C$37/1000</f>
        <v>0.39</v>
      </c>
      <c r="D534" s="100">
        <f>$D$37/1000</f>
        <v>0.15</v>
      </c>
      <c r="E534" s="100">
        <f>$E$37/1000</f>
        <v>0.1</v>
      </c>
      <c r="F534" s="101">
        <f>1*(D534+E534)+0.035</f>
        <v>0.28500000000000003</v>
      </c>
      <c r="G534" s="101">
        <f>2*(C534+0.7*(E534)+0.055)</f>
        <v>1.03</v>
      </c>
      <c r="H534" s="83">
        <f>H523</f>
        <v>0</v>
      </c>
      <c r="I534" s="121">
        <f>J7</f>
        <v>2000</v>
      </c>
      <c r="J534" s="122" t="b">
        <f>AND(F534&gt;=0.318,F534&lt;=0.698,G534&gt;=0.533,G534&lt;=1.025)</f>
        <v>0</v>
      </c>
      <c r="K534" s="122">
        <f>IF(J534,1,0)</f>
        <v>0</v>
      </c>
      <c r="L534" s="69">
        <f>IF(J534=TRUE,I534/K534,0)</f>
        <v>0</v>
      </c>
      <c r="M534" s="69">
        <f>IF(J534=FALSE, 0, IF(J534=TRUE, IF(L534&gt;=P533, IF(L534&lt;=Q533, R533, IF(L534&lt;=Q534, L534*$S$483*0.9, IF(L534&lt;=Q535, L534*$S$483*0.8, IF(L534&lt;=Q536, L534*$S$483*0.7, 0)))), 0), 0))</f>
        <v>0</v>
      </c>
      <c r="N534" s="13">
        <f>M534</f>
        <v>0</v>
      </c>
      <c r="P534" s="4">
        <v>2000</v>
      </c>
      <c r="Q534" s="4">
        <v>9999</v>
      </c>
      <c r="R534" s="4"/>
      <c r="S534" s="4">
        <v>0.05</v>
      </c>
      <c r="T534" s="4">
        <v>0.9</v>
      </c>
    </row>
    <row r="535" spans="2:20" x14ac:dyDescent="0.25">
      <c r="B535" s="82"/>
      <c r="C535" s="100">
        <f>$C$37/1000</f>
        <v>0.39</v>
      </c>
      <c r="D535" s="100">
        <f>$D$37/1000</f>
        <v>0.15</v>
      </c>
      <c r="E535" s="100">
        <f>$E$37/1000</f>
        <v>0.1</v>
      </c>
      <c r="F535" s="101">
        <f>1*(D535+E535)+0.035</f>
        <v>0.28500000000000003</v>
      </c>
      <c r="G535" s="101">
        <f>2*(C535+0.7*(E535)+0.055)</f>
        <v>1.03</v>
      </c>
      <c r="H535" s="83">
        <f>H523</f>
        <v>0</v>
      </c>
      <c r="I535" s="121">
        <f>K7</f>
        <v>3000</v>
      </c>
      <c r="J535" s="122" t="b">
        <f>AND(F535&gt;=0.318,F535&lt;=0.698,G535&gt;=0.533,G535&lt;=1.025)</f>
        <v>0</v>
      </c>
      <c r="K535" s="122">
        <f>IF(J535,1,0)</f>
        <v>0</v>
      </c>
      <c r="L535" s="69">
        <f>IF(J535=TRUE,I535/K535,0)</f>
        <v>0</v>
      </c>
      <c r="M535" s="69">
        <f>IF(J535=FALSE, 0, IF(J535=TRUE, IF(L535&gt;=P533, IF(L535&lt;=Q533, R533, IF(L535&lt;=Q534, L535*$S$483*0.9, IF(L535&lt;=Q535, L535*$S$483*0.8, IF(L535&lt;=Q536, L535*$S$483*0.7, 0)))), 0), 0))</f>
        <v>0</v>
      </c>
      <c r="N535" s="13">
        <f>M535</f>
        <v>0</v>
      </c>
      <c r="P535" s="4">
        <v>10000</v>
      </c>
      <c r="Q535" s="4">
        <v>49999</v>
      </c>
      <c r="R535" s="4"/>
      <c r="S535" s="4">
        <v>0.05</v>
      </c>
      <c r="T535" s="4">
        <v>0.8</v>
      </c>
    </row>
    <row r="536" spans="2:20" x14ac:dyDescent="0.25">
      <c r="B536" s="82"/>
      <c r="C536" s="100">
        <f>$C$37/1000</f>
        <v>0.39</v>
      </c>
      <c r="D536" s="100">
        <f>$D$37/1000</f>
        <v>0.15</v>
      </c>
      <c r="E536" s="100">
        <f>$E$37/1000</f>
        <v>0.1</v>
      </c>
      <c r="F536" s="101">
        <f>1*(D536+E536)+0.035</f>
        <v>0.28500000000000003</v>
      </c>
      <c r="G536" s="101">
        <f>2*(C536+0.7*(E536)+0.055)</f>
        <v>1.03</v>
      </c>
      <c r="H536" s="83">
        <f>H523</f>
        <v>0</v>
      </c>
      <c r="I536" s="121">
        <f>L7</f>
        <v>4000</v>
      </c>
      <c r="J536" s="122" t="b">
        <f>AND(F536&gt;=0.318,F536&lt;=0.698,G536&gt;=0.533,G536&lt;=1.025)</f>
        <v>0</v>
      </c>
      <c r="K536" s="122">
        <f>IF(J536,1,0)</f>
        <v>0</v>
      </c>
      <c r="L536" s="69">
        <f>IF(J536=TRUE,I536/K536,0)</f>
        <v>0</v>
      </c>
      <c r="M536" s="69">
        <f>IF(J536=FALSE, 0, IF(J536=TRUE, IF(L536&gt;=P533, IF(L536&lt;=Q533, R533, IF(L536&lt;=Q534, L536*$S$483*0.9, IF(L536&lt;=Q535, L536*$S$483*0.8, IF(L536&lt;=Q536, L536*$S$483*0.7, 0)))), 0), 0))</f>
        <v>0</v>
      </c>
      <c r="N536" s="13">
        <f>M536</f>
        <v>0</v>
      </c>
      <c r="P536" s="4">
        <v>50000</v>
      </c>
      <c r="Q536" s="4">
        <v>2000000</v>
      </c>
      <c r="R536" s="4"/>
      <c r="S536" s="4">
        <v>0.05</v>
      </c>
      <c r="T536" s="4">
        <v>0.7</v>
      </c>
    </row>
    <row r="538" spans="2:20" ht="15.75" thickBot="1" x14ac:dyDescent="0.3"/>
    <row r="539" spans="2:20" ht="15.75" thickBot="1" x14ac:dyDescent="0.3">
      <c r="B539" s="82" t="s">
        <v>0</v>
      </c>
      <c r="C539" s="83">
        <f>C521</f>
        <v>390</v>
      </c>
      <c r="D539" s="115">
        <f>D521</f>
        <v>150</v>
      </c>
      <c r="E539" s="83">
        <f>E521</f>
        <v>100</v>
      </c>
      <c r="F539" s="116">
        <f>C539+0.5*E539+23</f>
        <v>463</v>
      </c>
      <c r="G539" s="117">
        <v>113</v>
      </c>
      <c r="H539" s="118">
        <v>358.77499999999998</v>
      </c>
      <c r="I539" s="82"/>
    </row>
    <row r="540" spans="2:20" ht="30" x14ac:dyDescent="0.25">
      <c r="B540" s="82"/>
      <c r="C540" s="82"/>
      <c r="D540" s="82"/>
      <c r="E540" s="82"/>
      <c r="F540" s="229" t="s">
        <v>117</v>
      </c>
      <c r="G540" s="230"/>
      <c r="H540" s="83" t="s">
        <v>307</v>
      </c>
      <c r="I540" s="86" t="s">
        <v>86</v>
      </c>
      <c r="J540" s="4" t="s">
        <v>113</v>
      </c>
      <c r="K540" s="4"/>
      <c r="L540" s="93" t="s">
        <v>319</v>
      </c>
      <c r="M540" s="93"/>
      <c r="N540" s="4" t="s">
        <v>320</v>
      </c>
      <c r="P540" s="4" t="s">
        <v>311</v>
      </c>
      <c r="Q540" s="4" t="s">
        <v>312</v>
      </c>
      <c r="R540" s="95" t="s">
        <v>313</v>
      </c>
      <c r="S540" s="93" t="s">
        <v>314</v>
      </c>
      <c r="T540" s="93" t="s">
        <v>315</v>
      </c>
    </row>
    <row r="541" spans="2:20" x14ac:dyDescent="0.25">
      <c r="B541" s="82"/>
      <c r="C541" s="83" t="s">
        <v>5</v>
      </c>
      <c r="D541" s="83" t="s">
        <v>6</v>
      </c>
      <c r="E541" s="83" t="s">
        <v>7</v>
      </c>
      <c r="F541" s="83" t="s">
        <v>115</v>
      </c>
      <c r="G541" s="83" t="s">
        <v>110</v>
      </c>
      <c r="H541" s="147">
        <f>H523</f>
        <v>0</v>
      </c>
      <c r="I541" s="83"/>
      <c r="J541" s="85"/>
      <c r="K541" s="85"/>
      <c r="L541" s="85"/>
      <c r="M541" s="85"/>
      <c r="N541" s="4"/>
    </row>
    <row r="542" spans="2:20" x14ac:dyDescent="0.25">
      <c r="B542" s="143" t="s">
        <v>0</v>
      </c>
      <c r="C542" s="100">
        <f>$C$37/1000</f>
        <v>0.39</v>
      </c>
      <c r="D542" s="100">
        <f>$D$37/1000</f>
        <v>0.15</v>
      </c>
      <c r="E542" s="100">
        <f>$E$37/1000</f>
        <v>0.1</v>
      </c>
      <c r="F542" s="101">
        <f>D542+E542+0.035</f>
        <v>0.28500000000000003</v>
      </c>
      <c r="G542" s="101">
        <f>C542+0.7*(E542)+0.055</f>
        <v>0.51500000000000001</v>
      </c>
      <c r="H542" s="147">
        <f>H523</f>
        <v>0</v>
      </c>
      <c r="I542" s="121">
        <f>I7</f>
        <v>1000</v>
      </c>
      <c r="J542" s="122" t="b">
        <f>OR(AND(F542&gt;=0.318,F542&lt;=0.698,G542&gt;=0.533,G542&lt;=1.025),AND(F542&gt;=0.533,F542&lt;=1.025,G542&gt;=0.318,G542&lt;=0.698))</f>
        <v>0</v>
      </c>
      <c r="K542" s="123">
        <f>IF(J542,0.5,0)</f>
        <v>0</v>
      </c>
      <c r="L542" s="69">
        <f>IF(J542=TRUE,I542/K542,0)</f>
        <v>0</v>
      </c>
      <c r="M542" s="69">
        <f>IF(J542=FALSE, 0, IF(J542=TRUE, IF(L542&gt;=P542, IF(L542&lt;=Q542, R542, IF(L542&lt;=Q543, L542*$S$483*1, IF(L542&lt;=Q544, L542*$S$483*0.9, IF(L542&lt;=Q545, L542*$S$483*0.85, 0)))), 0), 0))</f>
        <v>0</v>
      </c>
      <c r="N542" s="13">
        <f>M542</f>
        <v>0</v>
      </c>
      <c r="P542" s="4">
        <v>100</v>
      </c>
      <c r="Q542" s="4">
        <v>1999</v>
      </c>
      <c r="R542" s="4">
        <v>90</v>
      </c>
      <c r="S542" s="4">
        <v>0.05</v>
      </c>
      <c r="T542" s="4">
        <v>1</v>
      </c>
    </row>
    <row r="543" spans="2:20" x14ac:dyDescent="0.25">
      <c r="B543" s="82"/>
      <c r="C543" s="100">
        <f>$C$37/1000</f>
        <v>0.39</v>
      </c>
      <c r="D543" s="100">
        <f>$D$37/1000</f>
        <v>0.15</v>
      </c>
      <c r="E543" s="100">
        <f>$E$37/1000</f>
        <v>0.1</v>
      </c>
      <c r="F543" s="101">
        <f>D543+E543+0.035</f>
        <v>0.28500000000000003</v>
      </c>
      <c r="G543" s="101">
        <f>C543+0.7*(E543)+0.055</f>
        <v>0.51500000000000001</v>
      </c>
      <c r="H543" s="147">
        <f>H523</f>
        <v>0</v>
      </c>
      <c r="I543" s="121">
        <f>J7</f>
        <v>2000</v>
      </c>
      <c r="J543" s="122" t="b">
        <f>OR(AND(F543&gt;=0.318,F543&lt;=0.698,G543&gt;=0.533,G543&lt;=1.025),AND(F543&gt;=0.533,F543&lt;=1.025,G543&gt;=0.318,G543&lt;=0.698))</f>
        <v>0</v>
      </c>
      <c r="K543" s="123">
        <f>IF(J543,0.5,0)</f>
        <v>0</v>
      </c>
      <c r="L543" s="69">
        <f>IF(J543=TRUE,I543/K543,0)</f>
        <v>0</v>
      </c>
      <c r="M543" s="69">
        <f>IF(J543=FALSE, 0, IF(J543=TRUE, IF(L543&gt;=P542, IF(L543&lt;=Q542, R542, IF(L543&lt;=Q543, L543*$S$483*0.9, IF(L543&lt;=Q544, L543*$S$483*0.8, IF(L543&lt;=Q545, L543*$S$483*0.7, 0)))), 0), 0))</f>
        <v>0</v>
      </c>
      <c r="N543" s="13">
        <f>M543</f>
        <v>0</v>
      </c>
      <c r="P543" s="4">
        <v>2000</v>
      </c>
      <c r="Q543" s="4">
        <v>9999</v>
      </c>
      <c r="R543" s="4"/>
      <c r="S543" s="4">
        <v>0.05</v>
      </c>
      <c r="T543" s="4">
        <v>0.9</v>
      </c>
    </row>
    <row r="544" spans="2:20" x14ac:dyDescent="0.25">
      <c r="B544" s="82"/>
      <c r="C544" s="100">
        <f>$C$37/1000</f>
        <v>0.39</v>
      </c>
      <c r="D544" s="100">
        <f>$D$37/1000</f>
        <v>0.15</v>
      </c>
      <c r="E544" s="100">
        <f>$E$37/1000</f>
        <v>0.1</v>
      </c>
      <c r="F544" s="101">
        <f>D544+E544+0.035</f>
        <v>0.28500000000000003</v>
      </c>
      <c r="G544" s="101">
        <f>C544+0.7*(E544)+0.055</f>
        <v>0.51500000000000001</v>
      </c>
      <c r="H544" s="147">
        <f>H523</f>
        <v>0</v>
      </c>
      <c r="I544" s="121">
        <f>K7</f>
        <v>3000</v>
      </c>
      <c r="J544" s="122" t="b">
        <f>OR(AND(F544&gt;=0.318,F544&lt;=0.698,G544&gt;=0.533,G544&lt;=1.025),AND(F544&gt;=0.533,F544&lt;=1.025,G544&gt;=0.318,G544&lt;=0.698))</f>
        <v>0</v>
      </c>
      <c r="K544" s="123">
        <f>IF(J544,0.5,0)</f>
        <v>0</v>
      </c>
      <c r="L544" s="69">
        <f>IF(J544=TRUE,I544/K544,0)</f>
        <v>0</v>
      </c>
      <c r="M544" s="69">
        <f>IF(J544=FALSE, 0, IF(J544=TRUE, IF(L544&gt;=P542, IF(L544&lt;=Q542, R542, IF(L544&lt;=Q543, L544*$S$483*0.9, IF(L544&lt;=Q544, L544*$S$483*0.8, IF(L544&lt;=Q545, L544*$S$483*0.7, 0)))), 0), 0))</f>
        <v>0</v>
      </c>
      <c r="N544" s="13">
        <f>M544</f>
        <v>0</v>
      </c>
      <c r="P544" s="4">
        <v>10000</v>
      </c>
      <c r="Q544" s="4">
        <v>49999</v>
      </c>
      <c r="R544" s="4"/>
      <c r="S544" s="4">
        <v>0.05</v>
      </c>
      <c r="T544" s="4">
        <v>0.8</v>
      </c>
    </row>
    <row r="545" spans="1:20" x14ac:dyDescent="0.25">
      <c r="B545" s="82"/>
      <c r="C545" s="100">
        <f>$C$37/1000</f>
        <v>0.39</v>
      </c>
      <c r="D545" s="100">
        <f>$D$37/1000</f>
        <v>0.15</v>
      </c>
      <c r="E545" s="100">
        <f>$E$37/1000</f>
        <v>0.1</v>
      </c>
      <c r="F545" s="101">
        <f>D545+E545+0.035</f>
        <v>0.28500000000000003</v>
      </c>
      <c r="G545" s="101">
        <f>C545+0.7*(E545)+0.055</f>
        <v>0.51500000000000001</v>
      </c>
      <c r="H545" s="147">
        <f>H523</f>
        <v>0</v>
      </c>
      <c r="I545" s="121">
        <f>L7</f>
        <v>4000</v>
      </c>
      <c r="J545" s="122" t="b">
        <f>OR(AND(F545&gt;=0.318,F545&lt;=0.698,G545&gt;=0.533,G545&lt;=1.025),AND(F545&gt;=0.533,F545&lt;=1.025,G545&gt;=0.318,G545&lt;=0.698))</f>
        <v>0</v>
      </c>
      <c r="K545" s="123">
        <f>IF(J545,0.5,0)</f>
        <v>0</v>
      </c>
      <c r="L545" s="69">
        <f>IF(J545=TRUE,I545/K545,0)</f>
        <v>0</v>
      </c>
      <c r="M545" s="69">
        <f>IF(J545=FALSE, 0, IF(J545=TRUE, IF(L545&gt;=P542, IF(L545&lt;=Q542, R542, IF(L545&lt;=Q543, L545*$S$483*0.9, IF(L545&lt;=Q544, L545*$S$483*0.8, IF(L545&lt;=Q545, L545*$S$483*0.7, 0)))), 0), 0))</f>
        <v>0</v>
      </c>
      <c r="N545" s="13">
        <f>M545</f>
        <v>0</v>
      </c>
      <c r="P545" s="4">
        <v>50000</v>
      </c>
      <c r="Q545" s="4">
        <v>2000000</v>
      </c>
      <c r="R545" s="4"/>
      <c r="S545" s="4">
        <v>0.05</v>
      </c>
      <c r="T545" s="4">
        <v>0.7</v>
      </c>
    </row>
    <row r="547" spans="1:20" ht="15.75" thickBot="1" x14ac:dyDescent="0.3"/>
    <row r="548" spans="1:20" ht="15.75" thickBot="1" x14ac:dyDescent="0.3">
      <c r="B548" s="82" t="s">
        <v>0</v>
      </c>
      <c r="C548" s="83">
        <f>C521</f>
        <v>390</v>
      </c>
      <c r="D548" s="115">
        <f>D521</f>
        <v>150</v>
      </c>
      <c r="E548" s="83">
        <f>E521</f>
        <v>100</v>
      </c>
      <c r="F548" s="116">
        <f>C548+0.5*E548+23</f>
        <v>463</v>
      </c>
      <c r="G548" s="117">
        <v>113</v>
      </c>
      <c r="H548" s="126">
        <v>358.77499999999998</v>
      </c>
      <c r="I548" s="82"/>
    </row>
    <row r="549" spans="1:20" ht="30" x14ac:dyDescent="0.25">
      <c r="B549" s="82"/>
      <c r="C549" s="82"/>
      <c r="D549" s="82"/>
      <c r="E549" s="82"/>
      <c r="F549" s="229" t="s">
        <v>119</v>
      </c>
      <c r="G549" s="231"/>
      <c r="H549" s="83" t="s">
        <v>307</v>
      </c>
      <c r="I549" s="86" t="s">
        <v>86</v>
      </c>
      <c r="J549" s="87" t="s">
        <v>87</v>
      </c>
      <c r="K549" s="4" t="s">
        <v>88</v>
      </c>
      <c r="L549" s="93" t="s">
        <v>319</v>
      </c>
      <c r="M549" s="93"/>
      <c r="N549" s="4" t="s">
        <v>320</v>
      </c>
      <c r="P549" s="4" t="s">
        <v>311</v>
      </c>
      <c r="Q549" s="4" t="s">
        <v>312</v>
      </c>
      <c r="R549" s="95" t="s">
        <v>313</v>
      </c>
      <c r="S549" s="93" t="s">
        <v>314</v>
      </c>
      <c r="T549" s="93" t="s">
        <v>315</v>
      </c>
    </row>
    <row r="550" spans="1:20" x14ac:dyDescent="0.25">
      <c r="B550" s="82"/>
      <c r="C550" s="83" t="s">
        <v>5</v>
      </c>
      <c r="D550" s="83" t="s">
        <v>6</v>
      </c>
      <c r="E550" s="83" t="s">
        <v>7</v>
      </c>
      <c r="F550" s="83" t="s">
        <v>109</v>
      </c>
      <c r="G550" s="83" t="s">
        <v>121</v>
      </c>
      <c r="H550" s="148">
        <f>H523</f>
        <v>0</v>
      </c>
      <c r="I550" s="83"/>
      <c r="J550" s="85" t="s">
        <v>111</v>
      </c>
      <c r="L550" s="85"/>
      <c r="M550" s="85"/>
      <c r="N550" s="4"/>
    </row>
    <row r="551" spans="1:20" x14ac:dyDescent="0.25">
      <c r="B551" s="143" t="s">
        <v>0</v>
      </c>
      <c r="C551" s="100">
        <f>$C$37/1000</f>
        <v>0.39</v>
      </c>
      <c r="D551" s="100">
        <f>$D$37/1000</f>
        <v>0.15</v>
      </c>
      <c r="E551" s="100">
        <f>$E$37/1000</f>
        <v>0.1</v>
      </c>
      <c r="F551" s="101">
        <f>2*(D551+E551)+0.035</f>
        <v>0.53500000000000003</v>
      </c>
      <c r="G551" s="101">
        <f>2*(C551+0.7*(E551)+0.055)</f>
        <v>1.03</v>
      </c>
      <c r="H551" s="149">
        <f>H523</f>
        <v>0</v>
      </c>
      <c r="I551" s="121">
        <f>I7</f>
        <v>1000</v>
      </c>
      <c r="J551" s="104" t="b">
        <f>OR(AND(F551&gt;=0.3,F551&lt;=0.698,G551&gt;=0.42,G551&lt;=1.025),AND(F551&gt;=0.42,F551&lt;=1.025,G551&gt;=0.3,G551&lt;=0.698))</f>
        <v>0</v>
      </c>
      <c r="K551" s="104">
        <f>IF(J551,2,0)</f>
        <v>0</v>
      </c>
      <c r="L551" s="69">
        <f>IF(J551=TRUE,I551/K551,0)</f>
        <v>0</v>
      </c>
      <c r="M551" s="69">
        <f>IF(J551=FALSE, 0, IF(J551=TRUE, IF(L551&gt;=P551, IF(L551&lt;=Q551, R551, IF(L551&lt;=Q552, L551*$S$483*1, IF(L551&lt;=Q553, L551*$S$483*0.9, IF(L551&lt;=Q554, L551*$S$483*0.85, 0)))), 0), 0))</f>
        <v>0</v>
      </c>
      <c r="N551" s="13">
        <f>M551</f>
        <v>0</v>
      </c>
      <c r="P551" s="4">
        <v>100</v>
      </c>
      <c r="Q551" s="4">
        <v>1999</v>
      </c>
      <c r="R551" s="4">
        <v>90</v>
      </c>
      <c r="S551" s="4">
        <v>0.05</v>
      </c>
      <c r="T551" s="4">
        <v>1</v>
      </c>
    </row>
    <row r="552" spans="1:20" x14ac:dyDescent="0.25">
      <c r="B552" s="82"/>
      <c r="C552" s="100">
        <f>$C$37/1000</f>
        <v>0.39</v>
      </c>
      <c r="D552" s="100">
        <f>$D$37/1000</f>
        <v>0.15</v>
      </c>
      <c r="E552" s="100">
        <f>$E$37/1000</f>
        <v>0.1</v>
      </c>
      <c r="F552" s="101">
        <f>2*(D552+E552)+0.035</f>
        <v>0.53500000000000003</v>
      </c>
      <c r="G552" s="101">
        <f>2*(C552+0.7*(E552)+0.055)</f>
        <v>1.03</v>
      </c>
      <c r="H552" s="149">
        <f>H523</f>
        <v>0</v>
      </c>
      <c r="I552" s="121">
        <f>J7</f>
        <v>2000</v>
      </c>
      <c r="J552" s="104" t="b">
        <f>OR(AND(F552&gt;=0.3,F552&lt;=0.698,G552&gt;=0.42,G552&lt;=1.025),AND(F552&gt;=0.42,F552&lt;=1.025,G552&gt;=0.3,G552&lt;=0.698))</f>
        <v>0</v>
      </c>
      <c r="K552" s="104">
        <f>IF(J552,2,0)</f>
        <v>0</v>
      </c>
      <c r="L552" s="69">
        <f>IF(J552=TRUE,I552/K552,0)</f>
        <v>0</v>
      </c>
      <c r="M552" s="69">
        <f>IF(J552=FALSE, 0, IF(J552=TRUE, IF(L552&gt;=P551, IF(L552&lt;=Q551, R551, IF(L552&lt;=Q552, L552*$S$483*1, IF(L552&lt;=Q553, L552*$S$483*0.9, IF(L552&lt;=Q554, L552*$S$483*0.85, 0)))), 0), 0))</f>
        <v>0</v>
      </c>
      <c r="N552" s="13">
        <f>M552</f>
        <v>0</v>
      </c>
      <c r="P552" s="4">
        <v>2000</v>
      </c>
      <c r="Q552" s="4">
        <v>9999</v>
      </c>
      <c r="R552" s="4"/>
      <c r="S552" s="4">
        <v>0.05</v>
      </c>
      <c r="T552" s="4">
        <v>0.9</v>
      </c>
    </row>
    <row r="553" spans="1:20" x14ac:dyDescent="0.25">
      <c r="B553" s="82"/>
      <c r="C553" s="100">
        <f>$C$37/1000</f>
        <v>0.39</v>
      </c>
      <c r="D553" s="100">
        <f>$D$37/1000</f>
        <v>0.15</v>
      </c>
      <c r="E553" s="100">
        <f>$E$37/1000</f>
        <v>0.1</v>
      </c>
      <c r="F553" s="101">
        <f>2*(D553+E553)+0.035</f>
        <v>0.53500000000000003</v>
      </c>
      <c r="G553" s="101">
        <f>2*(C553+0.7*(E553)+0.055)</f>
        <v>1.03</v>
      </c>
      <c r="H553" s="149">
        <f>H523</f>
        <v>0</v>
      </c>
      <c r="I553" s="121">
        <f>K7</f>
        <v>3000</v>
      </c>
      <c r="J553" s="104" t="b">
        <f>OR(AND(F553&gt;=0.3,F553&lt;=0.698,G553&gt;=0.42,G553&lt;=1.025),AND(F553&gt;=0.42,F553&lt;=1.025,G553&gt;=0.3,G553&lt;=0.698))</f>
        <v>0</v>
      </c>
      <c r="K553" s="104">
        <f>IF(J553,2,0)</f>
        <v>0</v>
      </c>
      <c r="L553" s="69">
        <f>IF(J553=TRUE,I553/K553,0)</f>
        <v>0</v>
      </c>
      <c r="M553" s="69">
        <f>IF(J553=FALSE, 0, IF(J553=TRUE, IF(L553&gt;=P551, IF(L553&lt;=Q551, R551, IF(L553&lt;=Q552, L553*$S$483*1, IF(L553&lt;=Q553, L553*$S$483*0.9, IF(L553&lt;=Q554, L553*$S$483*0.85, 0)))), 0), 0))</f>
        <v>0</v>
      </c>
      <c r="N553" s="13">
        <f>M553</f>
        <v>0</v>
      </c>
      <c r="P553" s="4">
        <v>10000</v>
      </c>
      <c r="Q553" s="4">
        <v>49999</v>
      </c>
      <c r="R553" s="4"/>
      <c r="S553" s="4">
        <v>0.05</v>
      </c>
      <c r="T553" s="4">
        <v>0.8</v>
      </c>
    </row>
    <row r="554" spans="1:20" x14ac:dyDescent="0.25">
      <c r="B554" s="82"/>
      <c r="C554" s="100">
        <f>$C$37/1000</f>
        <v>0.39</v>
      </c>
      <c r="D554" s="100">
        <f>$D$37/1000</f>
        <v>0.15</v>
      </c>
      <c r="E554" s="100">
        <f>$E$37/1000</f>
        <v>0.1</v>
      </c>
      <c r="F554" s="101">
        <f>2*(D554+E554)+0.035</f>
        <v>0.53500000000000003</v>
      </c>
      <c r="G554" s="101">
        <f>2*(C554+0.7*(E554)+0.055)</f>
        <v>1.03</v>
      </c>
      <c r="H554" s="149">
        <f>H523</f>
        <v>0</v>
      </c>
      <c r="I554" s="121">
        <f>L7</f>
        <v>4000</v>
      </c>
      <c r="J554" s="104" t="b">
        <f>OR(AND(F554&gt;=0.3,F554&lt;=0.698,G554&gt;=0.42,G554&lt;=1.025),AND(F554&gt;=0.42,F554&lt;=1.025,G554&gt;=0.3,G554&lt;=0.698))</f>
        <v>0</v>
      </c>
      <c r="K554" s="104">
        <f>IF(J554,2,0)</f>
        <v>0</v>
      </c>
      <c r="L554" s="69">
        <f>IF(J554=TRUE,I554/K554,0)</f>
        <v>0</v>
      </c>
      <c r="M554" s="69">
        <f>IF(J554=FALSE, 0, IF(J554=TRUE, IF(L554&gt;=P551, IF(L554&lt;=Q551, R551, IF(L554&lt;=Q552, L554*$S$483*1, IF(L554&lt;=Q553, L554*$S$483*0.9, IF(L554&lt;=Q554, L554*$S$483*0.85, 0)))), 0), 0))</f>
        <v>0</v>
      </c>
      <c r="N554" s="13">
        <f>M554</f>
        <v>0</v>
      </c>
      <c r="P554" s="4">
        <v>50000</v>
      </c>
      <c r="Q554" s="4">
        <v>2000000</v>
      </c>
      <c r="R554" s="4"/>
      <c r="S554" s="4">
        <v>0.05</v>
      </c>
      <c r="T554" s="4">
        <v>0.7</v>
      </c>
    </row>
    <row r="558" spans="1:20" s="80" customFormat="1" x14ac:dyDescent="0.25">
      <c r="A558" s="226" t="s">
        <v>322</v>
      </c>
      <c r="B558" s="226"/>
      <c r="C558" s="226"/>
      <c r="Q558" s="226" t="s">
        <v>322</v>
      </c>
      <c r="R558" s="226"/>
      <c r="S558" s="226"/>
    </row>
    <row r="559" spans="1:20" ht="18.75" x14ac:dyDescent="0.3">
      <c r="B559" s="81" t="s">
        <v>323</v>
      </c>
      <c r="C559" s="81"/>
      <c r="D559" s="81"/>
      <c r="E559" s="81"/>
      <c r="F559" s="81"/>
      <c r="G559" s="81"/>
    </row>
    <row r="561" spans="2:17" ht="15.75" thickBot="1" x14ac:dyDescent="0.3">
      <c r="B561" s="82" t="s">
        <v>0</v>
      </c>
      <c r="C561" s="24">
        <f>B8</f>
        <v>390</v>
      </c>
      <c r="D561" s="24">
        <f>C8</f>
        <v>150</v>
      </c>
      <c r="E561" s="24">
        <f>D8</f>
        <v>100</v>
      </c>
      <c r="F561" s="83">
        <f>C561+0.5*E561+23</f>
        <v>463</v>
      </c>
      <c r="G561" s="83">
        <v>113</v>
      </c>
    </row>
    <row r="562" spans="2:17" ht="45.75" thickBot="1" x14ac:dyDescent="0.3">
      <c r="B562" s="82"/>
      <c r="C562" s="82"/>
      <c r="D562" s="82"/>
      <c r="E562" s="82"/>
      <c r="F562" s="227" t="s">
        <v>85</v>
      </c>
      <c r="G562" s="228"/>
      <c r="J562" s="87" t="s">
        <v>87</v>
      </c>
      <c r="K562" s="4" t="s">
        <v>88</v>
      </c>
      <c r="L562" s="4" t="s">
        <v>324</v>
      </c>
      <c r="M562" s="4" t="s">
        <v>325</v>
      </c>
      <c r="N562" s="93" t="s">
        <v>326</v>
      </c>
      <c r="O562" s="93" t="s">
        <v>327</v>
      </c>
      <c r="P562" s="93" t="s">
        <v>328</v>
      </c>
      <c r="Q562" s="214" t="s">
        <v>329</v>
      </c>
    </row>
    <row r="563" spans="2:17" ht="15.75" thickBot="1" x14ac:dyDescent="0.3">
      <c r="B563" s="96" t="s">
        <v>108</v>
      </c>
      <c r="C563" s="97" t="s">
        <v>5</v>
      </c>
      <c r="D563" s="83" t="s">
        <v>6</v>
      </c>
      <c r="E563" s="83" t="s">
        <v>7</v>
      </c>
      <c r="F563" s="83" t="s">
        <v>109</v>
      </c>
      <c r="G563" s="83" t="s">
        <v>110</v>
      </c>
      <c r="J563" s="85" t="s">
        <v>111</v>
      </c>
    </row>
    <row r="564" spans="2:17" x14ac:dyDescent="0.25">
      <c r="B564" s="99" t="s">
        <v>0</v>
      </c>
      <c r="C564" s="100">
        <f>$C$37/1000</f>
        <v>0.39</v>
      </c>
      <c r="D564" s="100">
        <f>$D$37/1000</f>
        <v>0.15</v>
      </c>
      <c r="E564" s="100">
        <f>$E$37/1000</f>
        <v>0.1</v>
      </c>
      <c r="F564" s="101">
        <f>2*(D564+E564)+0.035</f>
        <v>0.53500000000000003</v>
      </c>
      <c r="G564" s="101">
        <f>C564+0.7*(E564)+0.015+0.055</f>
        <v>0.53</v>
      </c>
      <c r="J564" s="103" t="b">
        <f>AND(F564&gt;=0.533,F564&lt;=1.025,G564&gt;=0.318,G564&lt;=0.698)</f>
        <v>1</v>
      </c>
      <c r="K564" s="104">
        <f>IF(J564,1,0)</f>
        <v>1</v>
      </c>
      <c r="L564" s="4">
        <f>6*G564</f>
        <v>3.18</v>
      </c>
      <c r="M564" s="4">
        <f>3*F564</f>
        <v>1.605</v>
      </c>
      <c r="N564" s="4">
        <f>(L564+M564)*30</f>
        <v>143.55000000000001</v>
      </c>
      <c r="O564" s="4">
        <f>(F564*G564*100)+5</f>
        <v>33.355000000000004</v>
      </c>
      <c r="P564" s="4">
        <f>IF(J564,N564+O564,0)</f>
        <v>176.90500000000003</v>
      </c>
      <c r="Q564" s="108">
        <f>IF(E19="Old Mould", 80, SUM(P564,P573,P582,P591)/MAX(1, (P564&gt;0)+(P573&gt;0)+(P582&gt;0)+(P591&gt;0)))</f>
        <v>80</v>
      </c>
    </row>
    <row r="565" spans="2:17" x14ac:dyDescent="0.25">
      <c r="B565" s="82"/>
      <c r="C565" s="100">
        <f>$C$37/1000</f>
        <v>0.39</v>
      </c>
      <c r="D565" s="100">
        <f>$D$37/1000</f>
        <v>0.15</v>
      </c>
      <c r="E565" s="100">
        <f>$E$37/1000</f>
        <v>0.1</v>
      </c>
      <c r="F565" s="101">
        <f>2*(D565+E565)+0.035</f>
        <v>0.53500000000000003</v>
      </c>
      <c r="G565" s="101">
        <f>C565+0.7*(E565)+0.015+0.055</f>
        <v>0.53</v>
      </c>
      <c r="J565" s="103" t="b">
        <f>AND(F565&gt;=0.533,F565&lt;=1.025,G565&gt;=0.318,G565&lt;=0.698)</f>
        <v>1</v>
      </c>
      <c r="K565" s="104">
        <f>IF(J565,1,0)</f>
        <v>1</v>
      </c>
      <c r="Q565" s="108">
        <f>SUM(P565,P574,P583,P592)/MAX(1,SUM((P565&gt;0)+(P574&gt;0)+(P583&gt;0)+(P592&gt;0)))</f>
        <v>0</v>
      </c>
    </row>
    <row r="566" spans="2:17" x14ac:dyDescent="0.25">
      <c r="B566" s="82"/>
      <c r="C566" s="100">
        <f>$C$37/1000</f>
        <v>0.39</v>
      </c>
      <c r="D566" s="100">
        <f>$D$37/1000</f>
        <v>0.15</v>
      </c>
      <c r="E566" s="100">
        <f>$E$37/1000</f>
        <v>0.1</v>
      </c>
      <c r="F566" s="101">
        <f>2*(D566+E566)+0.035</f>
        <v>0.53500000000000003</v>
      </c>
      <c r="G566" s="101">
        <f>C566+0.7*(E566)+0.015+0.055</f>
        <v>0.53</v>
      </c>
      <c r="J566" s="103" t="b">
        <f>AND(F566&gt;=0.533,F566&lt;=1.025,G566&gt;=0.318,G566&lt;=0.698)</f>
        <v>1</v>
      </c>
      <c r="K566" s="104">
        <f>IF(J566,1,0)</f>
        <v>1</v>
      </c>
      <c r="Q566" s="108">
        <f>SUM(P566,P575,P584,P593)/MAX(1,SUM((P566&gt;0)+(P575&gt;0)+(P584&gt;0)+(P593&gt;0)))</f>
        <v>0</v>
      </c>
    </row>
    <row r="567" spans="2:17" x14ac:dyDescent="0.25">
      <c r="B567" s="82"/>
      <c r="C567" s="100">
        <f>$C$37/1000</f>
        <v>0.39</v>
      </c>
      <c r="D567" s="100">
        <f>$D$37/1000</f>
        <v>0.15</v>
      </c>
      <c r="E567" s="100">
        <f>$E$37/1000</f>
        <v>0.1</v>
      </c>
      <c r="F567" s="101">
        <f>2*(D567+E567)+0.035</f>
        <v>0.53500000000000003</v>
      </c>
      <c r="G567" s="101">
        <f>C567+0.7*(E567)+0.015+0.055</f>
        <v>0.53</v>
      </c>
      <c r="J567" s="103" t="b">
        <f>AND(F567&gt;=0.533,F567&lt;=1.025,G567&gt;=0.318,G567&lt;=0.698)</f>
        <v>1</v>
      </c>
      <c r="K567" s="104">
        <f>IF(J567,1,0)</f>
        <v>1</v>
      </c>
      <c r="Q567" s="108">
        <f>SUM(P567,P576,P585,P594)/MAX(1,SUM((P567&gt;0)+(P576&gt;0)+(P585&gt;0)+(P594&gt;0)))</f>
        <v>0</v>
      </c>
    </row>
    <row r="569" spans="2:17" ht="15.75" thickBot="1" x14ac:dyDescent="0.3"/>
    <row r="570" spans="2:17" ht="15.75" thickBot="1" x14ac:dyDescent="0.3">
      <c r="B570" s="82" t="s">
        <v>0</v>
      </c>
      <c r="C570" s="83">
        <f>C561</f>
        <v>390</v>
      </c>
      <c r="D570" s="115">
        <f>D561</f>
        <v>150</v>
      </c>
      <c r="E570" s="83">
        <f>E561</f>
        <v>100</v>
      </c>
      <c r="F570" s="116">
        <f>C570+0.5*E570+23</f>
        <v>463</v>
      </c>
      <c r="G570" s="117">
        <v>113</v>
      </c>
    </row>
    <row r="571" spans="2:17" ht="15.75" thickBot="1" x14ac:dyDescent="0.3">
      <c r="B571" s="82"/>
      <c r="C571" s="82"/>
      <c r="D571" s="82"/>
      <c r="E571" s="82"/>
      <c r="F571" s="229" t="s">
        <v>112</v>
      </c>
      <c r="G571" s="230"/>
      <c r="J571" s="4" t="s">
        <v>113</v>
      </c>
      <c r="K571" s="4"/>
      <c r="L571" s="4" t="s">
        <v>324</v>
      </c>
      <c r="M571" s="4" t="s">
        <v>325</v>
      </c>
    </row>
    <row r="572" spans="2:17" ht="15.75" thickBot="1" x14ac:dyDescent="0.3">
      <c r="B572" s="96" t="s">
        <v>114</v>
      </c>
      <c r="C572" s="97" t="s">
        <v>5</v>
      </c>
      <c r="D572" s="83" t="s">
        <v>6</v>
      </c>
      <c r="E572" s="83" t="s">
        <v>7</v>
      </c>
      <c r="F572" s="83" t="s">
        <v>115</v>
      </c>
      <c r="G572" s="83" t="s">
        <v>116</v>
      </c>
      <c r="J572" s="85"/>
      <c r="K572" s="85"/>
    </row>
    <row r="573" spans="2:17" x14ac:dyDescent="0.25">
      <c r="B573" s="99" t="s">
        <v>0</v>
      </c>
      <c r="C573" s="100">
        <f>$C$37/1000</f>
        <v>0.39</v>
      </c>
      <c r="D573" s="100">
        <f>$D$37/1000</f>
        <v>0.15</v>
      </c>
      <c r="E573" s="100">
        <f>$E$37/1000</f>
        <v>0.1</v>
      </c>
      <c r="F573" s="101">
        <f>1*(D573+E573)+0.035</f>
        <v>0.28500000000000003</v>
      </c>
      <c r="G573" s="101">
        <f>2*(C573+0.7*(E573)+0.055)</f>
        <v>1.03</v>
      </c>
      <c r="J573" s="122" t="b">
        <f>AND(F573&gt;=0.318,F573&lt;=0.698,G573&gt;=0.533,G573&lt;=1.025)</f>
        <v>0</v>
      </c>
      <c r="K573" s="122">
        <f>IF(J573,1,0)</f>
        <v>0</v>
      </c>
      <c r="L573" s="4">
        <f>6*G564</f>
        <v>3.18</v>
      </c>
      <c r="M573" s="4">
        <f>3*F564</f>
        <v>1.605</v>
      </c>
      <c r="N573" s="4">
        <f>(L573+M573)*30</f>
        <v>143.55000000000001</v>
      </c>
      <c r="O573" s="4">
        <f>(F573*G573*100)+5</f>
        <v>34.355000000000004</v>
      </c>
      <c r="P573" s="4">
        <f>IF(J573,N573+O573,0)</f>
        <v>0</v>
      </c>
    </row>
    <row r="574" spans="2:17" x14ac:dyDescent="0.25">
      <c r="B574" s="82"/>
      <c r="C574" s="100">
        <f>$C$37/1000</f>
        <v>0.39</v>
      </c>
      <c r="D574" s="100">
        <f>$D$37/1000</f>
        <v>0.15</v>
      </c>
      <c r="E574" s="100">
        <f>$E$37/1000</f>
        <v>0.1</v>
      </c>
      <c r="F574" s="101">
        <f>1*(D574+E574)+0.035</f>
        <v>0.28500000000000003</v>
      </c>
      <c r="G574" s="101">
        <f>2*(C574+0.7*(E574)+0.055)</f>
        <v>1.03</v>
      </c>
      <c r="J574" s="122" t="b">
        <f>AND(F574&gt;=0.318,F574&lt;=0.698,G574&gt;=0.533,G574&lt;=1.025)</f>
        <v>0</v>
      </c>
      <c r="K574" s="122">
        <f>IF(J574,1,0)</f>
        <v>0</v>
      </c>
    </row>
    <row r="575" spans="2:17" x14ac:dyDescent="0.25">
      <c r="B575" s="82"/>
      <c r="C575" s="100">
        <f>$C$37/1000</f>
        <v>0.39</v>
      </c>
      <c r="D575" s="100">
        <f>$D$37/1000</f>
        <v>0.15</v>
      </c>
      <c r="E575" s="100">
        <f>$E$37/1000</f>
        <v>0.1</v>
      </c>
      <c r="F575" s="101">
        <f>1*(D575+E575)+0.035</f>
        <v>0.28500000000000003</v>
      </c>
      <c r="G575" s="101">
        <f>2*(C575+0.7*(E575)+0.055)</f>
        <v>1.03</v>
      </c>
      <c r="J575" s="122" t="b">
        <f>AND(F575&gt;=0.318,F575&lt;=0.698,G575&gt;=0.533,G575&lt;=1.025)</f>
        <v>0</v>
      </c>
      <c r="K575" s="122">
        <f>IF(J575,1,0)</f>
        <v>0</v>
      </c>
    </row>
    <row r="576" spans="2:17" x14ac:dyDescent="0.25">
      <c r="B576" s="82"/>
      <c r="C576" s="100">
        <f>$C$37/1000</f>
        <v>0.39</v>
      </c>
      <c r="D576" s="100">
        <f>$D$37/1000</f>
        <v>0.15</v>
      </c>
      <c r="E576" s="100">
        <f>$E$37/1000</f>
        <v>0.1</v>
      </c>
      <c r="F576" s="101">
        <f>1*(D576+E576)+0.035</f>
        <v>0.28500000000000003</v>
      </c>
      <c r="G576" s="101">
        <f>2*(C576+0.7*(E576)+0.055)</f>
        <v>1.03</v>
      </c>
      <c r="J576" s="122" t="b">
        <f>AND(F576&gt;=0.318,F576&lt;=0.698,G576&gt;=0.533,G576&lt;=1.025)</f>
        <v>0</v>
      </c>
      <c r="K576" s="122">
        <f>IF(J576,1,0)</f>
        <v>0</v>
      </c>
    </row>
    <row r="578" spans="2:16" ht="15.75" thickBot="1" x14ac:dyDescent="0.3"/>
    <row r="579" spans="2:16" ht="15.75" thickBot="1" x14ac:dyDescent="0.3">
      <c r="B579" s="82" t="s">
        <v>0</v>
      </c>
      <c r="C579" s="83">
        <f>C561</f>
        <v>390</v>
      </c>
      <c r="D579" s="115">
        <f>D561</f>
        <v>150</v>
      </c>
      <c r="E579" s="83">
        <f>E561</f>
        <v>100</v>
      </c>
      <c r="F579" s="116">
        <f>C579+0.5*E579+23</f>
        <v>463</v>
      </c>
      <c r="G579" s="117">
        <v>113</v>
      </c>
    </row>
    <row r="580" spans="2:16" ht="15.75" thickBot="1" x14ac:dyDescent="0.3">
      <c r="B580" s="82"/>
      <c r="C580" s="82"/>
      <c r="D580" s="82"/>
      <c r="E580" s="82"/>
      <c r="F580" s="229" t="s">
        <v>117</v>
      </c>
      <c r="G580" s="230"/>
      <c r="J580" s="4" t="s">
        <v>113</v>
      </c>
      <c r="K580" s="4"/>
      <c r="L580" s="4" t="s">
        <v>330</v>
      </c>
      <c r="M580" s="4" t="s">
        <v>325</v>
      </c>
    </row>
    <row r="581" spans="2:16" ht="15.75" thickBot="1" x14ac:dyDescent="0.3">
      <c r="B581" s="96" t="s">
        <v>118</v>
      </c>
      <c r="C581" s="97" t="s">
        <v>5</v>
      </c>
      <c r="D581" s="83" t="s">
        <v>6</v>
      </c>
      <c r="E581" s="83" t="s">
        <v>7</v>
      </c>
      <c r="F581" s="83" t="s">
        <v>115</v>
      </c>
      <c r="G581" s="83" t="s">
        <v>110</v>
      </c>
      <c r="J581" s="85"/>
      <c r="K581" s="85"/>
    </row>
    <row r="582" spans="2:16" x14ac:dyDescent="0.25">
      <c r="B582" s="99" t="s">
        <v>0</v>
      </c>
      <c r="C582" s="100">
        <f>$C$37/1000</f>
        <v>0.39</v>
      </c>
      <c r="D582" s="100">
        <f>$D$37/1000</f>
        <v>0.15</v>
      </c>
      <c r="E582" s="100">
        <f>$E$37/1000</f>
        <v>0.1</v>
      </c>
      <c r="F582" s="101">
        <f>D582+E582+0.035</f>
        <v>0.28500000000000003</v>
      </c>
      <c r="G582" s="101">
        <f>C582+0.7*(E582)+0.055</f>
        <v>0.51500000000000001</v>
      </c>
      <c r="J582" s="122" t="b">
        <f>OR(AND(F582&gt;=0.318,F582&lt;=0.698,G582&gt;=0.533,G582&lt;=1.025),AND(F582&gt;=0.533,F582&lt;=1.025,G582&gt;=0.318,G582&lt;=0.698))</f>
        <v>0</v>
      </c>
      <c r="K582" s="123">
        <f>IF(J582,0.5,0)</f>
        <v>0</v>
      </c>
      <c r="L582" s="4">
        <f>3*G564</f>
        <v>1.59</v>
      </c>
      <c r="M582" s="4">
        <f>3*F564</f>
        <v>1.605</v>
      </c>
      <c r="N582" s="4">
        <f>(L582+M582)*30</f>
        <v>95.850000000000009</v>
      </c>
      <c r="O582" s="4">
        <f>0.5*O564</f>
        <v>16.677500000000002</v>
      </c>
      <c r="P582" s="4">
        <f>IF(J582,N582+O582,0)</f>
        <v>0</v>
      </c>
    </row>
    <row r="583" spans="2:16" x14ac:dyDescent="0.25">
      <c r="B583" s="82"/>
      <c r="C583" s="100">
        <f>$C$37/1000</f>
        <v>0.39</v>
      </c>
      <c r="D583" s="100">
        <f>$D$37/1000</f>
        <v>0.15</v>
      </c>
      <c r="E583" s="100">
        <f>$E$37/1000</f>
        <v>0.1</v>
      </c>
      <c r="F583" s="101">
        <f>D583+E583+0.035</f>
        <v>0.28500000000000003</v>
      </c>
      <c r="G583" s="101">
        <f>C583+0.7*(E583)+0.055</f>
        <v>0.51500000000000001</v>
      </c>
      <c r="J583" s="122" t="b">
        <f>OR(AND(F583&gt;=0.318,F583&lt;=0.698,G583&gt;=0.533,G583&lt;=1.025),AND(F583&gt;=0.533,F583&lt;=1.025,G583&gt;=0.318,G583&lt;=0.698))</f>
        <v>0</v>
      </c>
      <c r="K583" s="123">
        <f>IF(J583,0.5,0)</f>
        <v>0</v>
      </c>
    </row>
    <row r="584" spans="2:16" x14ac:dyDescent="0.25">
      <c r="B584" s="82"/>
      <c r="C584" s="100">
        <f>$C$37/1000</f>
        <v>0.39</v>
      </c>
      <c r="D584" s="100">
        <f>$D$37/1000</f>
        <v>0.15</v>
      </c>
      <c r="E584" s="100">
        <f>$E$37/1000</f>
        <v>0.1</v>
      </c>
      <c r="F584" s="101">
        <f>D584+E584+0.035</f>
        <v>0.28500000000000003</v>
      </c>
      <c r="G584" s="101">
        <f>C584+0.7*(E584)+0.055</f>
        <v>0.51500000000000001</v>
      </c>
      <c r="J584" s="122" t="b">
        <f>OR(AND(F584&gt;=0.318,F584&lt;=0.698,G584&gt;=0.533,G584&lt;=1.025),AND(F584&gt;=0.533,F584&lt;=1.025,G584&gt;=0.318,G584&lt;=0.698))</f>
        <v>0</v>
      </c>
      <c r="K584" s="123">
        <f>IF(J584,0.5,0)</f>
        <v>0</v>
      </c>
    </row>
    <row r="585" spans="2:16" x14ac:dyDescent="0.25">
      <c r="B585" s="82"/>
      <c r="C585" s="100">
        <f>$C$37/1000</f>
        <v>0.39</v>
      </c>
      <c r="D585" s="100">
        <f>$D$37/1000</f>
        <v>0.15</v>
      </c>
      <c r="E585" s="100">
        <f>$E$37/1000</f>
        <v>0.1</v>
      </c>
      <c r="F585" s="101">
        <f>D585+E585+0.035</f>
        <v>0.28500000000000003</v>
      </c>
      <c r="G585" s="101">
        <f>C585+0.7*(E585)+0.055</f>
        <v>0.51500000000000001</v>
      </c>
      <c r="J585" s="122" t="b">
        <f>OR(AND(F585&gt;=0.318,F585&lt;=0.698,G585&gt;=0.533,G585&lt;=1.025),AND(F585&gt;=0.533,F585&lt;=1.025,G585&gt;=0.318,G585&lt;=0.698))</f>
        <v>0</v>
      </c>
      <c r="K585" s="123">
        <f>IF(J585,0.5,0)</f>
        <v>0</v>
      </c>
    </row>
    <row r="587" spans="2:16" ht="15.75" thickBot="1" x14ac:dyDescent="0.3"/>
    <row r="588" spans="2:16" ht="15.75" thickBot="1" x14ac:dyDescent="0.3">
      <c r="B588" s="82" t="s">
        <v>0</v>
      </c>
      <c r="C588" s="83">
        <f>C561</f>
        <v>390</v>
      </c>
      <c r="D588" s="115">
        <f>D561</f>
        <v>150</v>
      </c>
      <c r="E588" s="83">
        <f>E561</f>
        <v>100</v>
      </c>
      <c r="F588" s="116">
        <f>C588+0.5*E588+23</f>
        <v>463</v>
      </c>
      <c r="G588" s="117">
        <v>113</v>
      </c>
    </row>
    <row r="589" spans="2:16" ht="25.5" thickBot="1" x14ac:dyDescent="0.3">
      <c r="B589" s="82"/>
      <c r="C589" s="82"/>
      <c r="D589" s="82"/>
      <c r="E589" s="82"/>
      <c r="F589" s="229" t="s">
        <v>119</v>
      </c>
      <c r="G589" s="231"/>
      <c r="J589" s="87" t="s">
        <v>87</v>
      </c>
      <c r="K589" s="4" t="s">
        <v>88</v>
      </c>
      <c r="L589" s="4" t="s">
        <v>331</v>
      </c>
      <c r="M589" s="4" t="s">
        <v>332</v>
      </c>
    </row>
    <row r="590" spans="2:16" ht="15.75" thickBot="1" x14ac:dyDescent="0.3">
      <c r="B590" s="96" t="s">
        <v>120</v>
      </c>
      <c r="C590" s="97" t="s">
        <v>5</v>
      </c>
      <c r="D590" s="83" t="s">
        <v>6</v>
      </c>
      <c r="E590" s="83" t="s">
        <v>7</v>
      </c>
      <c r="F590" s="83" t="s">
        <v>109</v>
      </c>
      <c r="G590" s="83" t="s">
        <v>121</v>
      </c>
      <c r="J590" s="85" t="s">
        <v>111</v>
      </c>
    </row>
    <row r="591" spans="2:16" x14ac:dyDescent="0.25">
      <c r="B591" s="99" t="s">
        <v>0</v>
      </c>
      <c r="C591" s="100">
        <f>$C$37/1000</f>
        <v>0.39</v>
      </c>
      <c r="D591" s="100">
        <f>$D$37/1000</f>
        <v>0.15</v>
      </c>
      <c r="E591" s="100">
        <f>$E$37/1000</f>
        <v>0.1</v>
      </c>
      <c r="F591" s="101">
        <f>2*(D591+E591)+0.035</f>
        <v>0.53500000000000003</v>
      </c>
      <c r="G591" s="101">
        <f>2*(C591+0.7*(E591)+0.055)</f>
        <v>1.03</v>
      </c>
      <c r="J591" s="103" t="b">
        <f>OR(AND(F591&gt;=0.3,F591&lt;=0.698,G591&gt;=0.42,G591&lt;=1.025),AND(F591&gt;=0.42,F591&lt;=1.025,G591&gt;=0.3,G591&lt;=0.698))</f>
        <v>0</v>
      </c>
      <c r="K591" s="104">
        <f>IF(J591,2,0)</f>
        <v>0</v>
      </c>
      <c r="L591" s="4">
        <f>12*G564</f>
        <v>6.36</v>
      </c>
      <c r="M591" s="4">
        <f>6*F564</f>
        <v>3.21</v>
      </c>
      <c r="N591" s="4">
        <f>(L591+M591)*30</f>
        <v>287.10000000000002</v>
      </c>
      <c r="O591" s="4">
        <f>2*O564</f>
        <v>66.710000000000008</v>
      </c>
      <c r="P591" s="4">
        <f>IF(J591,N591+O591,0)</f>
        <v>0</v>
      </c>
    </row>
    <row r="592" spans="2:16" x14ac:dyDescent="0.25">
      <c r="B592" s="82"/>
      <c r="C592" s="100">
        <f>$C$37/1000</f>
        <v>0.39</v>
      </c>
      <c r="D592" s="100">
        <f>$D$37/1000</f>
        <v>0.15</v>
      </c>
      <c r="E592" s="100">
        <f>$E$37/1000</f>
        <v>0.1</v>
      </c>
      <c r="F592" s="101">
        <f>2*(D592+E592)+0.035</f>
        <v>0.53500000000000003</v>
      </c>
      <c r="G592" s="101">
        <f>2*(C592+0.7*(E592)+0.055)</f>
        <v>1.03</v>
      </c>
      <c r="J592" s="103" t="b">
        <f>OR(AND(F592&gt;=0.3,F592&lt;=0.698,G592&gt;=0.42,G592&lt;=1.025),AND(F592&gt;=0.42,F592&lt;=1.025,G592&gt;=0.3,G592&lt;=0.698))</f>
        <v>0</v>
      </c>
      <c r="K592" s="104">
        <f>IF(J592,2,0)</f>
        <v>0</v>
      </c>
    </row>
    <row r="593" spans="2:11" x14ac:dyDescent="0.25">
      <c r="B593" s="82"/>
      <c r="C593" s="100">
        <f>$C$37/1000</f>
        <v>0.39</v>
      </c>
      <c r="D593" s="100">
        <f>$D$37/1000</f>
        <v>0.15</v>
      </c>
      <c r="E593" s="100">
        <f>$E$37/1000</f>
        <v>0.1</v>
      </c>
      <c r="F593" s="101">
        <f>2*(D593+E593)+0.035</f>
        <v>0.53500000000000003</v>
      </c>
      <c r="G593" s="101">
        <f>2*(C593+0.7*(E593)+0.055)</f>
        <v>1.03</v>
      </c>
      <c r="J593" s="103" t="b">
        <f>OR(AND(F593&gt;=0.3,F593&lt;=0.698,G593&gt;=0.42,G593&lt;=1.025),AND(F593&gt;=0.42,F593&lt;=1.025,G593&gt;=0.3,G593&lt;=0.698))</f>
        <v>0</v>
      </c>
      <c r="K593" s="104">
        <f>IF(J593,2,0)</f>
        <v>0</v>
      </c>
    </row>
    <row r="594" spans="2:11" x14ac:dyDescent="0.25">
      <c r="B594" s="82"/>
      <c r="C594" s="100">
        <f>$C$37/1000</f>
        <v>0.39</v>
      </c>
      <c r="D594" s="100">
        <f>$D$37/1000</f>
        <v>0.15</v>
      </c>
      <c r="E594" s="100">
        <f>$E$37/1000</f>
        <v>0.1</v>
      </c>
      <c r="F594" s="101">
        <f>2*(D594+E594)+0.035</f>
        <v>0.53500000000000003</v>
      </c>
      <c r="G594" s="101">
        <f>2*(C594+0.7*(E594)+0.055)</f>
        <v>1.03</v>
      </c>
      <c r="J594" s="103" t="b">
        <f>OR(AND(F594&gt;=0.3,F594&lt;=0.698,G594&gt;=0.42,G594&lt;=1.025),AND(F594&gt;=0.42,F594&lt;=1.025,G594&gt;=0.3,G594&lt;=0.698))</f>
        <v>0</v>
      </c>
      <c r="K594" s="104">
        <f>IF(J594,2,0)</f>
        <v>0</v>
      </c>
    </row>
  </sheetData>
  <dataConsolidate/>
  <mergeCells count="122">
    <mergeCell ref="M4:P4"/>
    <mergeCell ref="B12:C12"/>
    <mergeCell ref="C16:D16"/>
    <mergeCell ref="B17:C17"/>
    <mergeCell ref="A34:C34"/>
    <mergeCell ref="Q34:S34"/>
    <mergeCell ref="F47:G47"/>
    <mergeCell ref="F56:G56"/>
    <mergeCell ref="F65:G65"/>
    <mergeCell ref="A91:C91"/>
    <mergeCell ref="Q91:S91"/>
    <mergeCell ref="F95:G95"/>
    <mergeCell ref="S37:Y37"/>
    <mergeCell ref="AB37:AN37"/>
    <mergeCell ref="F38:G38"/>
    <mergeCell ref="S38:S39"/>
    <mergeCell ref="T38:T39"/>
    <mergeCell ref="U38:U39"/>
    <mergeCell ref="W38:W39"/>
    <mergeCell ref="X38:X39"/>
    <mergeCell ref="Y38:Y39"/>
    <mergeCell ref="R141:R143"/>
    <mergeCell ref="F144:G144"/>
    <mergeCell ref="F153:G153"/>
    <mergeCell ref="F162:G162"/>
    <mergeCell ref="A170:C170"/>
    <mergeCell ref="Q170:S170"/>
    <mergeCell ref="F104:G104"/>
    <mergeCell ref="F113:G113"/>
    <mergeCell ref="F122:G122"/>
    <mergeCell ref="A130:C130"/>
    <mergeCell ref="O130:Q130"/>
    <mergeCell ref="F135:G135"/>
    <mergeCell ref="A211:E211"/>
    <mergeCell ref="Q211:U211"/>
    <mergeCell ref="Q213:Y214"/>
    <mergeCell ref="Q172:Y173"/>
    <mergeCell ref="F176:G176"/>
    <mergeCell ref="T182:T184"/>
    <mergeCell ref="W182:W184"/>
    <mergeCell ref="X182:X184"/>
    <mergeCell ref="AA182:AA184"/>
    <mergeCell ref="S216:S217"/>
    <mergeCell ref="T216:T217"/>
    <mergeCell ref="F217:G217"/>
    <mergeCell ref="F226:G226"/>
    <mergeCell ref="F235:G235"/>
    <mergeCell ref="F244:G244"/>
    <mergeCell ref="F185:G185"/>
    <mergeCell ref="F194:G194"/>
    <mergeCell ref="F203:G203"/>
    <mergeCell ref="A253:F253"/>
    <mergeCell ref="Q253:V253"/>
    <mergeCell ref="Q255:Y256"/>
    <mergeCell ref="S258:S259"/>
    <mergeCell ref="T258:T259"/>
    <mergeCell ref="V258:V259"/>
    <mergeCell ref="W258:W259"/>
    <mergeCell ref="X258:X259"/>
    <mergeCell ref="F259:G259"/>
    <mergeCell ref="Q296:Y297"/>
    <mergeCell ref="S299:S300"/>
    <mergeCell ref="T299:T300"/>
    <mergeCell ref="V299:V300"/>
    <mergeCell ref="W299:W300"/>
    <mergeCell ref="X299:X300"/>
    <mergeCell ref="F268:G268"/>
    <mergeCell ref="F277:G277"/>
    <mergeCell ref="F286:G286"/>
    <mergeCell ref="A294:F294"/>
    <mergeCell ref="N294:S294"/>
    <mergeCell ref="U294:Z294"/>
    <mergeCell ref="R335:W335"/>
    <mergeCell ref="J366:J367"/>
    <mergeCell ref="K366:K368"/>
    <mergeCell ref="L366:L368"/>
    <mergeCell ref="M366:M368"/>
    <mergeCell ref="N366:N368"/>
    <mergeCell ref="F300:G300"/>
    <mergeCell ref="F309:G309"/>
    <mergeCell ref="F318:G318"/>
    <mergeCell ref="F327:G327"/>
    <mergeCell ref="A335:F335"/>
    <mergeCell ref="J335:O335"/>
    <mergeCell ref="J418:J419"/>
    <mergeCell ref="K418:K420"/>
    <mergeCell ref="L418:L420"/>
    <mergeCell ref="M418:M420"/>
    <mergeCell ref="D419:E419"/>
    <mergeCell ref="A444:F444"/>
    <mergeCell ref="D367:E367"/>
    <mergeCell ref="AD391:AF391"/>
    <mergeCell ref="J392:J393"/>
    <mergeCell ref="K392:K394"/>
    <mergeCell ref="L392:L394"/>
    <mergeCell ref="M392:M394"/>
    <mergeCell ref="D393:E393"/>
    <mergeCell ref="AD393:AF393"/>
    <mergeCell ref="A474:C474"/>
    <mergeCell ref="Q474:S474"/>
    <mergeCell ref="F480:G480"/>
    <mergeCell ref="F489:G489"/>
    <mergeCell ref="F498:G498"/>
    <mergeCell ref="F507:G507"/>
    <mergeCell ref="Q444:V444"/>
    <mergeCell ref="AA447:AC447"/>
    <mergeCell ref="I448:I450"/>
    <mergeCell ref="K448:K450"/>
    <mergeCell ref="C449:D449"/>
    <mergeCell ref="AB449:AD449"/>
    <mergeCell ref="A558:C558"/>
    <mergeCell ref="Q558:S558"/>
    <mergeCell ref="F562:G562"/>
    <mergeCell ref="F571:G571"/>
    <mergeCell ref="F580:G580"/>
    <mergeCell ref="F589:G589"/>
    <mergeCell ref="A516:C516"/>
    <mergeCell ref="Q516:S516"/>
    <mergeCell ref="F522:G522"/>
    <mergeCell ref="F531:G531"/>
    <mergeCell ref="F540:G540"/>
    <mergeCell ref="F549:G549"/>
  </mergeCells>
  <conditionalFormatting sqref="A369:B388">
    <cfRule type="expression" dxfId="2" priority="3">
      <formula>OR(A369=$I$7,A369=$J$7,A369=$K$7,A369=$L$7)</formula>
    </cfRule>
  </conditionalFormatting>
  <conditionalFormatting sqref="A395:B414">
    <cfRule type="expression" dxfId="1" priority="2">
      <formula>OR(A395=$I$7,A395=$J$7,A395=$K$7,A395=$L$7)</formula>
    </cfRule>
  </conditionalFormatting>
  <conditionalFormatting sqref="A451:B470">
    <cfRule type="expression" dxfId="0" priority="1">
      <formula>OR(A451=$I$7,A451=$J$7,A451=$K$7,A451=$L$7)</formula>
    </cfRule>
  </conditionalFormatting>
  <dataValidations count="30">
    <dataValidation type="list" allowBlank="1" showInputMessage="1" showErrorMessage="1" sqref="F3" xr:uid="{00000000-0002-0000-0000-000000000000}">
      <formula1>$G$3:$G$9</formula1>
    </dataValidation>
    <dataValidation type="list" allowBlank="1" showInputMessage="1" showErrorMessage="1" sqref="E3" xr:uid="{00000000-0002-0000-0000-000001000000}">
      <formula1>$F$3:$F$7</formula1>
    </dataValidation>
    <dataValidation type="list" allowBlank="1" showInputMessage="1" showErrorMessage="1" sqref="E2" xr:uid="{00000000-0002-0000-0000-000002000000}">
      <formula1>$AJ$13:$AJ$19</formula1>
    </dataValidation>
    <dataValidation type="list" allowBlank="1" showInputMessage="1" showErrorMessage="1" sqref="E1" xr:uid="{00000000-0002-0000-0000-000003000000}">
      <formula1>$AG$13:$AG$19</formula1>
    </dataValidation>
    <dataValidation type="list" allowBlank="1" showInputMessage="1" showErrorMessage="1" sqref="D1:D2" xr:uid="{00000000-0002-0000-0000-000004000000}">
      <formula1>$E$3:$E$6</formula1>
    </dataValidation>
    <dataValidation type="list" allowBlank="1" showInputMessage="1" showErrorMessage="1" sqref="E14" xr:uid="{00000000-0002-0000-0000-000005000000}">
      <formula1>$N$297:$N$298</formula1>
    </dataValidation>
    <dataValidation type="list" allowBlank="1" showInputMessage="1" showErrorMessage="1" sqref="E13" xr:uid="{00000000-0002-0000-0000-000006000000}">
      <formula1>$N$255:$N$257</formula1>
    </dataValidation>
    <dataValidation type="list" allowBlank="1" showInputMessage="1" showErrorMessage="1" sqref="E12" xr:uid="{00000000-0002-0000-0000-000007000000}">
      <formula1>$N$213:$N$215</formula1>
    </dataValidation>
    <dataValidation type="list" allowBlank="1" showInputMessage="1" showErrorMessage="1" sqref="N177 E11" xr:uid="{00000000-0002-0000-0000-000008000000}">
      <formula1>$N$172:$N$174</formula1>
    </dataValidation>
    <dataValidation type="list" allowBlank="1" showInputMessage="1" showErrorMessage="1" sqref="Q74:Q86 E9 S185:S197 Z185:Z197 Q144:Q156" xr:uid="{00000000-0002-0000-0000-000009000000}">
      <formula1>$Q$74:$Q$86</formula1>
    </dataValidation>
    <dataValidation type="list" showInputMessage="1" showErrorMessage="1" sqref="H163 H154:H158" xr:uid="{00000000-0002-0000-0000-00000A000000}">
      <formula1>$Q$74:$Q$86</formula1>
    </dataValidation>
    <dataValidation allowBlank="1" showInputMessage="1" showErrorMessage="1" promptTitle="notes" prompt="See notes" sqref="A25:A26 H25:H33" xr:uid="{00000000-0002-0000-0000-00000B000000}"/>
    <dataValidation type="whole" allowBlank="1" showInputMessage="1" showErrorMessage="1" errorTitle="Invalid input" error="Please enter a whole number only,without a decimal point,thank you!" sqref="E258 E94 E134 E175 E216 E299 E479 E521" xr:uid="{00000000-0002-0000-0000-00000C000000}">
      <formula1>25</formula1>
      <formula2>350</formula2>
    </dataValidation>
    <dataValidation type="whole" allowBlank="1" showInputMessage="1" showErrorMessage="1" errorTitle="Invalid input" error="Please enter a whole number only,without a decimal point,thank you!" sqref="C258:D258 C94:D94 C134:D134 C175:D175 C216:D216 C299:D299 C479:D479 C521:D521" xr:uid="{00000000-0002-0000-0000-00000D000000}">
      <formula1>100</formula1>
      <formula2>700</formula2>
    </dataValidation>
    <dataValidation type="list" allowBlank="1" showInputMessage="1" showErrorMessage="1" sqref="G37 G588 G570 G579 G561 G521 G548 G530 G539 G479 G506 G488 G497 G216 G243 G225 G234 G64 G46 G55 G94 G121 G103 G112 G134 G161 G143 G152 G175 G202 G184 G193 G258 G285 G267 G276 G299 G326 G308 G317" xr:uid="{00000000-0002-0000-0000-00000E000000}">
      <formula1>$S$37:$S$51</formula1>
    </dataValidation>
    <dataValidation type="list" allowBlank="1" showInputMessage="1" showErrorMessage="1" sqref="H37 H521 H548 H530 H539 H479 H506 H488 H497 H216 H243 H225 H234 H64 H46 H55 H94 H121 H103 H112 H134 H161 H143 H152 H175 H202 H184 H193 H258 H285 H267 H276 H299 H326 H308 H317" xr:uid="{00000000-0002-0000-0000-00000F000000}">
      <formula1>$U$37:$U$51</formula1>
    </dataValidation>
    <dataValidation type="whole" allowBlank="1" showInputMessage="1" showErrorMessage="1" sqref="I58:I61 I49:I52 I279:I282 I67:I70 I106:I109 I261:I264 I97:I100 I115:I118 I146:I149 I124:I127 I137:I140 I155:I158 I187:I190 I164:I167 I178:I181 I196:I199 I228:I231 I219:I222 I205:I208 I237:I240 I270:I273 I246:I249 I288:I291 I320:I323 I302:I305 I311:I314 I329:I332 I491:I494 I482:I485 I500:I503 I509:I512 I533:I536 I524:I527 I542:I545 I551:I554" xr:uid="{00000000-0002-0000-0000-000010000000}">
      <formula1>100</formula1>
      <formula2>1000000</formula2>
    </dataValidation>
    <dataValidation type="decimal" allowBlank="1" showInputMessage="1" showErrorMessage="1" sqref="F40:F43 F67:F70 F97:F100 F124:F127 F137:F140 F164:F167 F178:F181 F205:F208 F219:F222 F246:F249 F261:F264 F288:F291 F302:F305 F329:F332 F482:F485 F509:F512 F524:F527 F551:F554 F564:F567 F591:F594" xr:uid="{00000000-0002-0000-0000-000011000000}">
      <formula1>0.533</formula1>
      <formula2>1.025</formula2>
    </dataValidation>
    <dataValidation type="decimal" allowBlank="1" showInputMessage="1" showErrorMessage="1" sqref="G40:G43 G67:G70 G97:G100 G124:G127 G137:G140 G164:G167 G178:G181 G205:G208 G219:G222 G246:G249 G261:G264 G288:G291 G302:G305 G329:G332 G482:G485 G509:G512 G524:G527 G551:G554 G564:G567 G591:G594" xr:uid="{00000000-0002-0000-0000-000012000000}">
      <formula1>0.318</formula1>
      <formula2>0.698</formula2>
    </dataValidation>
    <dataValidation type="custom" allowBlank="1" showInputMessage="1" showErrorMessage="1" sqref="F49:G52 F106:G109 F146:G149 F187:G190 F228:G231 F270:G273 F311:G314 F491:G494 F533:G536 F573:G576" xr:uid="{00000000-0002-0000-0000-000013000000}">
      <formula1>AND(F49&gt;=0.533,F49&lt;=1.025,G49&gt;=0.318,G49&lt;=0.698)</formula1>
    </dataValidation>
    <dataValidation type="list" allowBlank="1" showInputMessage="1" showErrorMessage="1" sqref="D12" xr:uid="{00000000-0002-0000-0000-000014000000}">
      <formula1>$P$341:$P$353</formula1>
    </dataValidation>
    <dataValidation type="list" showInputMessage="1" showErrorMessage="1" sqref="H66" xr:uid="{00000000-0002-0000-0000-000015000000}">
      <formula1>H74:H85</formula1>
    </dataValidation>
    <dataValidation showInputMessage="1" showErrorMessage="1" sqref="H39 H96 H481 H523" xr:uid="{00000000-0002-0000-0000-000016000000}"/>
    <dataValidation type="list" allowBlank="1" showInputMessage="1" showErrorMessage="1" sqref="E8" xr:uid="{00000000-0002-0000-0000-000017000000}">
      <formula1>$H$74:$H$86</formula1>
    </dataValidation>
    <dataValidation type="list" allowBlank="1" showInputMessage="1" showErrorMessage="1" sqref="D17" xr:uid="{00000000-0002-0000-0000-000018000000}">
      <formula1>$F$446:$F$447</formula1>
    </dataValidation>
    <dataValidation type="list" allowBlank="1" showInputMessage="1" showErrorMessage="1" sqref="E16" xr:uid="{00000000-0002-0000-0000-000019000000}">
      <formula1>$E$446:$E$447</formula1>
    </dataValidation>
    <dataValidation type="list" allowBlank="1" showInputMessage="1" showErrorMessage="1" sqref="E15" xr:uid="{00000000-0002-0000-0000-00001A000000}">
      <formula1>$N$340:$N$341</formula1>
    </dataValidation>
    <dataValidation type="list" allowBlank="1" showInputMessage="1" showErrorMessage="1" sqref="E17" xr:uid="{00000000-0002-0000-0000-00001B000000}">
      <formula1>$E$476:$E$477</formula1>
    </dataValidation>
    <dataValidation type="list" allowBlank="1" showInputMessage="1" showErrorMessage="1" sqref="E19" xr:uid="{00000000-0002-0000-0000-00001C000000}">
      <formula1>$C$19:$D$19</formula1>
    </dataValidation>
    <dataValidation type="list" allowBlank="1" showInputMessage="1" showErrorMessage="1" sqref="G28:G32" xr:uid="{00000000-0002-0000-0000-00001D000000}">
      <formula1>$R$5:$R$22</formula1>
    </dataValidation>
  </dataValidation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A41AE-9977-4CA0-B428-787D2294CC6C}">
  <dimension ref="B2:B31"/>
  <sheetViews>
    <sheetView workbookViewId="0">
      <selection activeCell="W17" sqref="W17"/>
    </sheetView>
  </sheetViews>
  <sheetFormatPr defaultRowHeight="15" x14ac:dyDescent="0.25"/>
  <cols>
    <col min="2" max="2" width="10" bestFit="1" customWidth="1"/>
  </cols>
  <sheetData>
    <row r="2" spans="2:2" x14ac:dyDescent="0.25">
      <c r="B2" s="269">
        <v>45974</v>
      </c>
    </row>
    <row r="3" spans="2:2" x14ac:dyDescent="0.25">
      <c r="B3" t="s">
        <v>339</v>
      </c>
    </row>
    <row r="5" spans="2:2" x14ac:dyDescent="0.25">
      <c r="B5" t="s">
        <v>340</v>
      </c>
    </row>
    <row r="6" spans="2:2" x14ac:dyDescent="0.25">
      <c r="B6" t="s">
        <v>341</v>
      </c>
    </row>
    <row r="7" spans="2:2" x14ac:dyDescent="0.25">
      <c r="B7" t="s">
        <v>342</v>
      </c>
    </row>
    <row r="8" spans="2:2" x14ac:dyDescent="0.25">
      <c r="B8" t="s">
        <v>343</v>
      </c>
    </row>
    <row r="9" spans="2:2" x14ac:dyDescent="0.25">
      <c r="B9" t="s">
        <v>344</v>
      </c>
    </row>
    <row r="10" spans="2:2" x14ac:dyDescent="0.25">
      <c r="B10" t="s">
        <v>345</v>
      </c>
    </row>
    <row r="11" spans="2:2" x14ac:dyDescent="0.25">
      <c r="B11" t="s">
        <v>346</v>
      </c>
    </row>
    <row r="12" spans="2:2" x14ac:dyDescent="0.25">
      <c r="B12" t="s">
        <v>347</v>
      </c>
    </row>
    <row r="14" spans="2:2" x14ac:dyDescent="0.25">
      <c r="B14" t="s">
        <v>348</v>
      </c>
    </row>
    <row r="16" spans="2:2" x14ac:dyDescent="0.25">
      <c r="B16" t="s">
        <v>349</v>
      </c>
    </row>
    <row r="17" spans="2:2" x14ac:dyDescent="0.25">
      <c r="B17" t="s">
        <v>350</v>
      </c>
    </row>
    <row r="18" spans="2:2" x14ac:dyDescent="0.25">
      <c r="B18" t="s">
        <v>351</v>
      </c>
    </row>
    <row r="19" spans="2:2" x14ac:dyDescent="0.25">
      <c r="B19" t="s">
        <v>352</v>
      </c>
    </row>
    <row r="21" spans="2:2" x14ac:dyDescent="0.25">
      <c r="B21" t="s">
        <v>353</v>
      </c>
    </row>
    <row r="23" spans="2:2" x14ac:dyDescent="0.25">
      <c r="B23" t="s">
        <v>354</v>
      </c>
    </row>
    <row r="24" spans="2:2" x14ac:dyDescent="0.25">
      <c r="B24" t="s">
        <v>355</v>
      </c>
    </row>
    <row r="25" spans="2:2" x14ac:dyDescent="0.25">
      <c r="B25" t="s">
        <v>356</v>
      </c>
    </row>
    <row r="27" spans="2:2" x14ac:dyDescent="0.25">
      <c r="B27" t="s">
        <v>357</v>
      </c>
    </row>
    <row r="29" spans="2:2" x14ac:dyDescent="0.25">
      <c r="B29" t="s">
        <v>358</v>
      </c>
    </row>
    <row r="31" spans="2:2" x14ac:dyDescent="0.25">
      <c r="B31" t="s">
        <v>359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8688</vt:lpstr>
      <vt:lpstr>Q1 13 Nov 25</vt:lpstr>
      <vt:lpstr>'8688'!ValidQty</vt:lpstr>
      <vt:lpstr>'8688'!ValidQuantities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chong</dc:creator>
  <cp:lastModifiedBy>steven chong</cp:lastModifiedBy>
  <cp:lastPrinted>2025-09-03T07:03:26Z</cp:lastPrinted>
  <dcterms:created xsi:type="dcterms:W3CDTF">2025-07-20T03:17:47Z</dcterms:created>
  <dcterms:modified xsi:type="dcterms:W3CDTF">2025-11-13T08:27:00Z</dcterms:modified>
</cp:coreProperties>
</file>